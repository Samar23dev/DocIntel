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co Schedule" sheetId="1" state="visible" r:id="rId3"/>
    <sheet name="Summary" sheetId="2" state="visible" r:id="rId4"/>
    <sheet name="Schedule Refere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<sst xmlns="http://schemas.openxmlformats.org/spreadsheetml/2006/main" count="158" uniqueCount="66">
  <si>
    <t xml:space="preserve">Electric Locomotive Maintenance Schedule Tracker</t>
  </si>
  <si>
    <t xml:space="preserve">Synthetic sample data | Reference date in B3 (blue, editable) drives due-status</t>
  </si>
  <si>
    <t xml:space="preserve">Reference date:</t>
  </si>
  <si>
    <t xml:space="preserve">Loco No.</t>
  </si>
  <si>
    <t xml:space="preserve">Class</t>
  </si>
  <si>
    <t xml:space="preserve">Shed</t>
  </si>
  <si>
    <t xml:space="preserve">Last Schedule</t>
  </si>
  <si>
    <t xml:space="preserve">Last Schedule Done</t>
  </si>
  <si>
    <t xml:space="preserve">Interval (days)</t>
  </si>
  <si>
    <t xml:space="preserve">Next Due</t>
  </si>
  <si>
    <t xml:space="preserve">Days Remaining</t>
  </si>
  <si>
    <t xml:space="preserve">Status</t>
  </si>
  <si>
    <t xml:space="preserve">Km Since Last POH</t>
  </si>
  <si>
    <t xml:space="preserve">POH Limit (km)</t>
  </si>
  <si>
    <t xml:space="preserve">% POH Life Used</t>
  </si>
  <si>
    <t xml:space="preserve">30996</t>
  </si>
  <si>
    <t xml:space="preserve">WAP-7</t>
  </si>
  <si>
    <t xml:space="preserve">Shed-C</t>
  </si>
  <si>
    <t xml:space="preserve">IA</t>
  </si>
  <si>
    <t xml:space="preserve">30619</t>
  </si>
  <si>
    <t xml:space="preserve">WAG-9</t>
  </si>
  <si>
    <t xml:space="preserve">Shed-A</t>
  </si>
  <si>
    <t xml:space="preserve">AOH</t>
  </si>
  <si>
    <t xml:space="preserve">IC</t>
  </si>
  <si>
    <t xml:space="preserve">30880</t>
  </si>
  <si>
    <t xml:space="preserve">IB</t>
  </si>
  <si>
    <t xml:space="preserve">30713</t>
  </si>
  <si>
    <t xml:space="preserve">Shed-B</t>
  </si>
  <si>
    <t xml:space="preserve">30471</t>
  </si>
  <si>
    <t xml:space="preserve">30999</t>
  </si>
  <si>
    <t xml:space="preserve">30597</t>
  </si>
  <si>
    <t xml:space="preserve">30231</t>
  </si>
  <si>
    <t xml:space="preserve">30371</t>
  </si>
  <si>
    <t xml:space="preserve">30652</t>
  </si>
  <si>
    <t xml:space="preserve">Q</t>
  </si>
  <si>
    <t xml:space="preserve">30508</t>
  </si>
  <si>
    <t xml:space="preserve">30629</t>
  </si>
  <si>
    <t xml:space="preserve">30165</t>
  </si>
  <si>
    <t xml:space="preserve">30335</t>
  </si>
  <si>
    <t xml:space="preserve">30824</t>
  </si>
  <si>
    <t xml:space="preserve">30132</t>
  </si>
  <si>
    <t xml:space="preserve">30385</t>
  </si>
  <si>
    <t xml:space="preserve">30235</t>
  </si>
  <si>
    <t xml:space="preserve">30348</t>
  </si>
  <si>
    <t xml:space="preserve">30196</t>
  </si>
  <si>
    <t xml:space="preserve">30533</t>
  </si>
  <si>
    <t xml:space="preserve">30789</t>
  </si>
  <si>
    <t xml:space="preserve">IOH</t>
  </si>
  <si>
    <t xml:space="preserve">30512</t>
  </si>
  <si>
    <t xml:space="preserve">30296</t>
  </si>
  <si>
    <t xml:space="preserve">30532</t>
  </si>
  <si>
    <t xml:space="preserve">30995</t>
  </si>
  <si>
    <t xml:space="preserve">30151</t>
  </si>
  <si>
    <t xml:space="preserve">30871</t>
  </si>
  <si>
    <t xml:space="preserve">30592</t>
  </si>
  <si>
    <t xml:space="preserve">Fleet Status Summary</t>
  </si>
  <si>
    <t xml:space="preserve">Counts via COUNTIFS on Loco Schedule</t>
  </si>
  <si>
    <t xml:space="preserve">Total</t>
  </si>
  <si>
    <t xml:space="preserve">Overdue</t>
  </si>
  <si>
    <t xml:space="preserve">Due Soon</t>
  </si>
  <si>
    <t xml:space="preserve">OK</t>
  </si>
  <si>
    <t xml:space="preserve">% Overdue</t>
  </si>
  <si>
    <t xml:space="preserve">Schedule Intervals</t>
  </si>
  <si>
    <t xml:space="preserve">Reference table</t>
  </si>
  <si>
    <t xml:space="preserve">Schedule</t>
  </si>
  <si>
    <t xml:space="preserve">Man-hours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</si>
</sst>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#,##0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2" min="11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n">
        <v>46326</v>
      </c>
    </row>
    <row r="5" customFormat="false" ht="23.8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</row>
    <row r="6" customFormat="false" ht="15" hidden="false" customHeight="false" outlineLevel="0" collapsed="false">
      <c r="A6" s="6" t="s">
        <v>15</v>
      </c>
      <c r="B6" s="6" t="s">
        <v>16</v>
      </c>
      <c r="C6" s="6" t="s">
        <v>17</v>
      </c>
      <c r="D6" s="6" t="s">
        <v>18</v>
      </c>
      <c r="E6" s="7" t="n">
        <v>46275</v>
      </c>
      <c r="F6" s="6" t="n">
        <v>30</v>
      </c>
      <c r="G6" s="8" t="n">
        <f aca="false">E6+F6</f>
        <v>46305</v>
      </c>
      <c r="H6" s="6" t="n">
        <f aca="false">G6-$B$3</f>
        <v>-21</v>
      </c>
      <c r="I6" s="6" t="str">
        <f aca="false">IF(H6&lt;0,"OVERDUE",IF(H6&lt;=7,"DUE SOON","OK"))</f>
        <v>OVERDUE</v>
      </c>
      <c r="J6" s="9" t="n">
        <v>356183</v>
      </c>
      <c r="K6" s="10" t="n">
        <v>1200000</v>
      </c>
      <c r="L6" s="11" t="n">
        <f aca="false">J6/K6</f>
        <v>0.296819166666667</v>
      </c>
    </row>
    <row r="7" customFormat="false" ht="15" hidden="false" customHeight="false" outlineLevel="0" collapsed="false">
      <c r="A7" s="6" t="s">
        <v>19</v>
      </c>
      <c r="B7" s="6" t="s">
        <v>20</v>
      </c>
      <c r="C7" s="6" t="s">
        <v>21</v>
      </c>
      <c r="D7" s="6" t="s">
        <v>22</v>
      </c>
      <c r="E7" s="7" t="n">
        <v>46230</v>
      </c>
      <c r="F7" s="6" t="n">
        <v>365</v>
      </c>
      <c r="G7" s="8" t="n">
        <f aca="false">E7+F7</f>
        <v>46595</v>
      </c>
      <c r="H7" s="6" t="n">
        <f aca="false">G7-$B$3</f>
        <v>269</v>
      </c>
      <c r="I7" s="6" t="str">
        <f aca="false">IF(H7&lt;0,"OVERDUE",IF(H7&lt;=7,"DUE SOON","OK"))</f>
        <v>OK</v>
      </c>
      <c r="J7" s="9" t="n">
        <v>735674</v>
      </c>
      <c r="K7" s="10" t="n">
        <v>1200000</v>
      </c>
      <c r="L7" s="11" t="n">
        <f aca="false">J7/K7</f>
        <v>0.613061666666667</v>
      </c>
    </row>
    <row r="8" customFormat="false" ht="15" hidden="false" customHeight="false" outlineLevel="0" collapsed="false">
      <c r="A8" s="6" t="s">
        <v>19</v>
      </c>
      <c r="B8" s="6" t="s">
        <v>20</v>
      </c>
      <c r="C8" s="6" t="s">
        <v>17</v>
      </c>
      <c r="D8" s="6" t="s">
        <v>23</v>
      </c>
      <c r="E8" s="7" t="n">
        <v>46158</v>
      </c>
      <c r="F8" s="6" t="n">
        <v>180</v>
      </c>
      <c r="G8" s="8" t="n">
        <f aca="false">E8+F8</f>
        <v>46338</v>
      </c>
      <c r="H8" s="6" t="n">
        <f aca="false">G8-$B$3</f>
        <v>12</v>
      </c>
      <c r="I8" s="6" t="str">
        <f aca="false">IF(H8&lt;0,"OVERDUE",IF(H8&lt;=7,"DUE SOON","OK"))</f>
        <v>OK</v>
      </c>
      <c r="J8" s="9" t="n">
        <v>288573</v>
      </c>
      <c r="K8" s="10" t="n">
        <v>1200000</v>
      </c>
      <c r="L8" s="11" t="n">
        <f aca="false">J8/K8</f>
        <v>0.2404775</v>
      </c>
    </row>
    <row r="9" customFormat="false" ht="15" hidden="false" customHeight="false" outlineLevel="0" collapsed="false">
      <c r="A9" s="6" t="s">
        <v>24</v>
      </c>
      <c r="B9" s="6" t="s">
        <v>16</v>
      </c>
      <c r="C9" s="6" t="s">
        <v>21</v>
      </c>
      <c r="D9" s="6" t="s">
        <v>25</v>
      </c>
      <c r="E9" s="7" t="n">
        <v>46274</v>
      </c>
      <c r="F9" s="6" t="n">
        <v>60</v>
      </c>
      <c r="G9" s="8" t="n">
        <f aca="false">E9+F9</f>
        <v>46334</v>
      </c>
      <c r="H9" s="6" t="n">
        <f aca="false">G9-$B$3</f>
        <v>8</v>
      </c>
      <c r="I9" s="6" t="str">
        <f aca="false">IF(H9&lt;0,"OVERDUE",IF(H9&lt;=7,"DUE SOON","OK"))</f>
        <v>OK</v>
      </c>
      <c r="J9" s="9" t="n">
        <v>645579</v>
      </c>
      <c r="K9" s="10" t="n">
        <v>1200000</v>
      </c>
      <c r="L9" s="11" t="n">
        <f aca="false">J9/K9</f>
        <v>0.5379825</v>
      </c>
    </row>
    <row r="10" customFormat="false" ht="15" hidden="false" customHeight="false" outlineLevel="0" collapsed="false">
      <c r="A10" s="6" t="s">
        <v>26</v>
      </c>
      <c r="B10" s="6" t="s">
        <v>20</v>
      </c>
      <c r="C10" s="6" t="s">
        <v>27</v>
      </c>
      <c r="D10" s="6" t="s">
        <v>22</v>
      </c>
      <c r="E10" s="7" t="n">
        <v>46321</v>
      </c>
      <c r="F10" s="6" t="n">
        <v>365</v>
      </c>
      <c r="G10" s="8" t="n">
        <f aca="false">E10+F10</f>
        <v>46686</v>
      </c>
      <c r="H10" s="6" t="n">
        <f aca="false">G10-$B$3</f>
        <v>360</v>
      </c>
      <c r="I10" s="6" t="str">
        <f aca="false">IF(H10&lt;0,"OVERDUE",IF(H10&lt;=7,"DUE SOON","OK"))</f>
        <v>OK</v>
      </c>
      <c r="J10" s="9" t="n">
        <v>592340</v>
      </c>
      <c r="K10" s="10" t="n">
        <v>1200000</v>
      </c>
      <c r="L10" s="11" t="n">
        <f aca="false">J10/K10</f>
        <v>0.493616666666667</v>
      </c>
    </row>
    <row r="11" customFormat="false" ht="15" hidden="false" customHeight="false" outlineLevel="0" collapsed="false">
      <c r="A11" s="6" t="s">
        <v>28</v>
      </c>
      <c r="B11" s="6" t="s">
        <v>20</v>
      </c>
      <c r="C11" s="6" t="s">
        <v>27</v>
      </c>
      <c r="D11" s="6" t="s">
        <v>18</v>
      </c>
      <c r="E11" s="7" t="n">
        <v>46314</v>
      </c>
      <c r="F11" s="6" t="n">
        <v>30</v>
      </c>
      <c r="G11" s="8" t="n">
        <f aca="false">E11+F11</f>
        <v>46344</v>
      </c>
      <c r="H11" s="6" t="n">
        <f aca="false">G11-$B$3</f>
        <v>18</v>
      </c>
      <c r="I11" s="6" t="str">
        <f aca="false">IF(H11&lt;0,"OVERDUE",IF(H11&lt;=7,"DUE SOON","OK"))</f>
        <v>OK</v>
      </c>
      <c r="J11" s="9" t="n">
        <v>331083</v>
      </c>
      <c r="K11" s="10" t="n">
        <v>1200000</v>
      </c>
      <c r="L11" s="11" t="n">
        <f aca="false">J11/K11</f>
        <v>0.2759025</v>
      </c>
    </row>
    <row r="12" customFormat="false" ht="15" hidden="false" customHeight="false" outlineLevel="0" collapsed="false">
      <c r="A12" s="6" t="s">
        <v>29</v>
      </c>
      <c r="B12" s="6" t="s">
        <v>16</v>
      </c>
      <c r="C12" s="6" t="s">
        <v>17</v>
      </c>
      <c r="D12" s="6" t="s">
        <v>18</v>
      </c>
      <c r="E12" s="7" t="n">
        <v>46306</v>
      </c>
      <c r="F12" s="6" t="n">
        <v>30</v>
      </c>
      <c r="G12" s="8" t="n">
        <f aca="false">E12+F12</f>
        <v>46336</v>
      </c>
      <c r="H12" s="6" t="n">
        <f aca="false">G12-$B$3</f>
        <v>10</v>
      </c>
      <c r="I12" s="6" t="str">
        <f aca="false">IF(H12&lt;0,"OVERDUE",IF(H12&lt;=7,"DUE SOON","OK"))</f>
        <v>OK</v>
      </c>
      <c r="J12" s="9" t="n">
        <v>162582</v>
      </c>
      <c r="K12" s="10" t="n">
        <v>1200000</v>
      </c>
      <c r="L12" s="11" t="n">
        <f aca="false">J12/K12</f>
        <v>0.135485</v>
      </c>
    </row>
    <row r="13" customFormat="false" ht="15" hidden="false" customHeight="false" outlineLevel="0" collapsed="false">
      <c r="A13" s="6" t="s">
        <v>30</v>
      </c>
      <c r="B13" s="6" t="s">
        <v>20</v>
      </c>
      <c r="C13" s="6" t="s">
        <v>21</v>
      </c>
      <c r="D13" s="6" t="s">
        <v>18</v>
      </c>
      <c r="E13" s="7" t="n">
        <v>46275</v>
      </c>
      <c r="F13" s="6" t="n">
        <v>30</v>
      </c>
      <c r="G13" s="8" t="n">
        <f aca="false">E13+F13</f>
        <v>46305</v>
      </c>
      <c r="H13" s="6" t="n">
        <f aca="false">G13-$B$3</f>
        <v>-21</v>
      </c>
      <c r="I13" s="6" t="str">
        <f aca="false">IF(H13&lt;0,"OVERDUE",IF(H13&lt;=7,"DUE SOON","OK"))</f>
        <v>OVERDUE</v>
      </c>
      <c r="J13" s="9" t="n">
        <v>877549</v>
      </c>
      <c r="K13" s="10" t="n">
        <v>1200000</v>
      </c>
      <c r="L13" s="11" t="n">
        <f aca="false">J13/K13</f>
        <v>0.731290833333333</v>
      </c>
    </row>
    <row r="14" customFormat="false" ht="15" hidden="false" customHeight="false" outlineLevel="0" collapsed="false">
      <c r="A14" s="6" t="s">
        <v>31</v>
      </c>
      <c r="B14" s="6" t="s">
        <v>20</v>
      </c>
      <c r="C14" s="6" t="s">
        <v>17</v>
      </c>
      <c r="D14" s="6" t="s">
        <v>22</v>
      </c>
      <c r="E14" s="7" t="n">
        <v>46257</v>
      </c>
      <c r="F14" s="6" t="n">
        <v>365</v>
      </c>
      <c r="G14" s="8" t="n">
        <f aca="false">E14+F14</f>
        <v>46622</v>
      </c>
      <c r="H14" s="6" t="n">
        <f aca="false">G14-$B$3</f>
        <v>296</v>
      </c>
      <c r="I14" s="6" t="str">
        <f aca="false">IF(H14&lt;0,"OVERDUE",IF(H14&lt;=7,"DUE SOON","OK"))</f>
        <v>OK</v>
      </c>
      <c r="J14" s="9" t="n">
        <v>578369</v>
      </c>
      <c r="K14" s="10" t="n">
        <v>1200000</v>
      </c>
      <c r="L14" s="11" t="n">
        <f aca="false">J14/K14</f>
        <v>0.481974166666667</v>
      </c>
    </row>
    <row r="15" customFormat="false" ht="15" hidden="false" customHeight="false" outlineLevel="0" collapsed="false">
      <c r="A15" s="6" t="s">
        <v>32</v>
      </c>
      <c r="B15" s="6" t="s">
        <v>16</v>
      </c>
      <c r="C15" s="6" t="s">
        <v>17</v>
      </c>
      <c r="D15" s="6" t="s">
        <v>22</v>
      </c>
      <c r="E15" s="7" t="n">
        <v>46237</v>
      </c>
      <c r="F15" s="6" t="n">
        <v>365</v>
      </c>
      <c r="G15" s="8" t="n">
        <f aca="false">E15+F15</f>
        <v>46602</v>
      </c>
      <c r="H15" s="6" t="n">
        <f aca="false">G15-$B$3</f>
        <v>276</v>
      </c>
      <c r="I15" s="6" t="str">
        <f aca="false">IF(H15&lt;0,"OVERDUE",IF(H15&lt;=7,"DUE SOON","OK"))</f>
        <v>OK</v>
      </c>
      <c r="J15" s="9" t="n">
        <v>716059</v>
      </c>
      <c r="K15" s="10" t="n">
        <v>1200000</v>
      </c>
      <c r="L15" s="11" t="n">
        <f aca="false">J15/K15</f>
        <v>0.596715833333333</v>
      </c>
    </row>
    <row r="16" customFormat="false" ht="15" hidden="false" customHeight="false" outlineLevel="0" collapsed="false">
      <c r="A16" s="6" t="s">
        <v>33</v>
      </c>
      <c r="B16" s="6" t="s">
        <v>20</v>
      </c>
      <c r="C16" s="6" t="s">
        <v>17</v>
      </c>
      <c r="D16" s="6" t="s">
        <v>34</v>
      </c>
      <c r="E16" s="7" t="n">
        <v>46294</v>
      </c>
      <c r="F16" s="6" t="n">
        <v>90</v>
      </c>
      <c r="G16" s="8" t="n">
        <f aca="false">E16+F16</f>
        <v>46384</v>
      </c>
      <c r="H16" s="6" t="n">
        <f aca="false">G16-$B$3</f>
        <v>58</v>
      </c>
      <c r="I16" s="6" t="str">
        <f aca="false">IF(H16&lt;0,"OVERDUE",IF(H16&lt;=7,"DUE SOON","OK"))</f>
        <v>OK</v>
      </c>
      <c r="J16" s="9" t="n">
        <v>803378</v>
      </c>
      <c r="K16" s="10" t="n">
        <v>1200000</v>
      </c>
      <c r="L16" s="11" t="n">
        <f aca="false">J16/K16</f>
        <v>0.669481666666667</v>
      </c>
    </row>
    <row r="17" customFormat="false" ht="15" hidden="false" customHeight="false" outlineLevel="0" collapsed="false">
      <c r="A17" s="6" t="s">
        <v>35</v>
      </c>
      <c r="B17" s="6" t="s">
        <v>20</v>
      </c>
      <c r="C17" s="6" t="s">
        <v>17</v>
      </c>
      <c r="D17" s="6" t="s">
        <v>25</v>
      </c>
      <c r="E17" s="7" t="n">
        <v>46282</v>
      </c>
      <c r="F17" s="6" t="n">
        <v>60</v>
      </c>
      <c r="G17" s="8" t="n">
        <f aca="false">E17+F17</f>
        <v>46342</v>
      </c>
      <c r="H17" s="6" t="n">
        <f aca="false">G17-$B$3</f>
        <v>16</v>
      </c>
      <c r="I17" s="6" t="str">
        <f aca="false">IF(H17&lt;0,"OVERDUE",IF(H17&lt;=7,"DUE SOON","OK"))</f>
        <v>OK</v>
      </c>
      <c r="J17" s="9" t="n">
        <v>761446</v>
      </c>
      <c r="K17" s="10" t="n">
        <v>1200000</v>
      </c>
      <c r="L17" s="11" t="n">
        <f aca="false">J17/K17</f>
        <v>0.634538333333333</v>
      </c>
    </row>
    <row r="18" customFormat="false" ht="15" hidden="false" customHeight="false" outlineLevel="0" collapsed="false">
      <c r="A18" s="6" t="s">
        <v>36</v>
      </c>
      <c r="B18" s="6" t="s">
        <v>16</v>
      </c>
      <c r="C18" s="6" t="s">
        <v>27</v>
      </c>
      <c r="D18" s="6" t="s">
        <v>23</v>
      </c>
      <c r="E18" s="7" t="n">
        <v>46209</v>
      </c>
      <c r="F18" s="6" t="n">
        <v>180</v>
      </c>
      <c r="G18" s="8" t="n">
        <f aca="false">E18+F18</f>
        <v>46389</v>
      </c>
      <c r="H18" s="6" t="n">
        <f aca="false">G18-$B$3</f>
        <v>63</v>
      </c>
      <c r="I18" s="6" t="str">
        <f aca="false">IF(H18&lt;0,"OVERDUE",IF(H18&lt;=7,"DUE SOON","OK"))</f>
        <v>OK</v>
      </c>
      <c r="J18" s="9" t="n">
        <v>206882</v>
      </c>
      <c r="K18" s="10" t="n">
        <v>1200000</v>
      </c>
      <c r="L18" s="11" t="n">
        <f aca="false">J18/K18</f>
        <v>0.172401666666667</v>
      </c>
    </row>
    <row r="19" customFormat="false" ht="15" hidden="false" customHeight="false" outlineLevel="0" collapsed="false">
      <c r="A19" s="6" t="s">
        <v>37</v>
      </c>
      <c r="B19" s="6" t="s">
        <v>20</v>
      </c>
      <c r="C19" s="6" t="s">
        <v>27</v>
      </c>
      <c r="D19" s="6" t="s">
        <v>25</v>
      </c>
      <c r="E19" s="7" t="n">
        <v>46293</v>
      </c>
      <c r="F19" s="6" t="n">
        <v>60</v>
      </c>
      <c r="G19" s="8" t="n">
        <f aca="false">E19+F19</f>
        <v>46353</v>
      </c>
      <c r="H19" s="6" t="n">
        <f aca="false">G19-$B$3</f>
        <v>27</v>
      </c>
      <c r="I19" s="6" t="str">
        <f aca="false">IF(H19&lt;0,"OVERDUE",IF(H19&lt;=7,"DUE SOON","OK"))</f>
        <v>OK</v>
      </c>
      <c r="J19" s="9" t="n">
        <v>102056</v>
      </c>
      <c r="K19" s="10" t="n">
        <v>1200000</v>
      </c>
      <c r="L19" s="11" t="n">
        <f aca="false">J19/K19</f>
        <v>0.0850466666666667</v>
      </c>
    </row>
    <row r="20" customFormat="false" ht="15" hidden="false" customHeight="false" outlineLevel="0" collapsed="false">
      <c r="A20" s="6" t="s">
        <v>38</v>
      </c>
      <c r="B20" s="6" t="s">
        <v>20</v>
      </c>
      <c r="C20" s="6" t="s">
        <v>17</v>
      </c>
      <c r="D20" s="6" t="s">
        <v>22</v>
      </c>
      <c r="E20" s="7" t="n">
        <v>46038</v>
      </c>
      <c r="F20" s="6" t="n">
        <v>365</v>
      </c>
      <c r="G20" s="8" t="n">
        <f aca="false">E20+F20</f>
        <v>46403</v>
      </c>
      <c r="H20" s="6" t="n">
        <f aca="false">G20-$B$3</f>
        <v>77</v>
      </c>
      <c r="I20" s="6" t="str">
        <f aca="false">IF(H20&lt;0,"OVERDUE",IF(H20&lt;=7,"DUE SOON","OK"))</f>
        <v>OK</v>
      </c>
      <c r="J20" s="9" t="n">
        <v>310914</v>
      </c>
      <c r="K20" s="10" t="n">
        <v>1200000</v>
      </c>
      <c r="L20" s="11" t="n">
        <f aca="false">J20/K20</f>
        <v>0.259095</v>
      </c>
    </row>
    <row r="21" customFormat="false" ht="15" hidden="false" customHeight="false" outlineLevel="0" collapsed="false">
      <c r="A21" s="6" t="s">
        <v>39</v>
      </c>
      <c r="B21" s="6" t="s">
        <v>16</v>
      </c>
      <c r="C21" s="6" t="s">
        <v>17</v>
      </c>
      <c r="D21" s="6" t="s">
        <v>18</v>
      </c>
      <c r="E21" s="7" t="n">
        <v>46317</v>
      </c>
      <c r="F21" s="6" t="n">
        <v>30</v>
      </c>
      <c r="G21" s="8" t="n">
        <f aca="false">E21+F21</f>
        <v>46347</v>
      </c>
      <c r="H21" s="6" t="n">
        <f aca="false">G21-$B$3</f>
        <v>21</v>
      </c>
      <c r="I21" s="6" t="str">
        <f aca="false">IF(H21&lt;0,"OVERDUE",IF(H21&lt;=7,"DUE SOON","OK"))</f>
        <v>OK</v>
      </c>
      <c r="J21" s="9" t="n">
        <v>141733</v>
      </c>
      <c r="K21" s="10" t="n">
        <v>1200000</v>
      </c>
      <c r="L21" s="11" t="n">
        <f aca="false">J21/K21</f>
        <v>0.118110833333333</v>
      </c>
    </row>
    <row r="22" customFormat="false" ht="15" hidden="false" customHeight="false" outlineLevel="0" collapsed="false">
      <c r="A22" s="6" t="s">
        <v>40</v>
      </c>
      <c r="B22" s="6" t="s">
        <v>20</v>
      </c>
      <c r="C22" s="6" t="s">
        <v>27</v>
      </c>
      <c r="D22" s="6" t="s">
        <v>25</v>
      </c>
      <c r="E22" s="7" t="n">
        <v>46313</v>
      </c>
      <c r="F22" s="6" t="n">
        <v>60</v>
      </c>
      <c r="G22" s="8" t="n">
        <f aca="false">E22+F22</f>
        <v>46373</v>
      </c>
      <c r="H22" s="6" t="n">
        <f aca="false">G22-$B$3</f>
        <v>47</v>
      </c>
      <c r="I22" s="6" t="str">
        <f aca="false">IF(H22&lt;0,"OVERDUE",IF(H22&lt;=7,"DUE SOON","OK"))</f>
        <v>OK</v>
      </c>
      <c r="J22" s="9" t="n">
        <v>154299</v>
      </c>
      <c r="K22" s="10" t="n">
        <v>1200000</v>
      </c>
      <c r="L22" s="11" t="n">
        <f aca="false">J22/K22</f>
        <v>0.1285825</v>
      </c>
    </row>
    <row r="23" customFormat="false" ht="15" hidden="false" customHeight="false" outlineLevel="0" collapsed="false">
      <c r="A23" s="6" t="s">
        <v>41</v>
      </c>
      <c r="B23" s="6" t="s">
        <v>20</v>
      </c>
      <c r="C23" s="6" t="s">
        <v>17</v>
      </c>
      <c r="D23" s="6" t="s">
        <v>22</v>
      </c>
      <c r="E23" s="7" t="n">
        <v>46200</v>
      </c>
      <c r="F23" s="6" t="n">
        <v>365</v>
      </c>
      <c r="G23" s="8" t="n">
        <f aca="false">E23+F23</f>
        <v>46565</v>
      </c>
      <c r="H23" s="6" t="n">
        <f aca="false">G23-$B$3</f>
        <v>239</v>
      </c>
      <c r="I23" s="6" t="str">
        <f aca="false">IF(H23&lt;0,"OVERDUE",IF(H23&lt;=7,"DUE SOON","OK"))</f>
        <v>OK</v>
      </c>
      <c r="J23" s="9" t="n">
        <v>588993</v>
      </c>
      <c r="K23" s="10" t="n">
        <v>1200000</v>
      </c>
      <c r="L23" s="11" t="n">
        <f aca="false">J23/K23</f>
        <v>0.4908275</v>
      </c>
    </row>
    <row r="24" customFormat="false" ht="15" hidden="false" customHeight="false" outlineLevel="0" collapsed="false">
      <c r="A24" s="6" t="s">
        <v>42</v>
      </c>
      <c r="B24" s="6" t="s">
        <v>16</v>
      </c>
      <c r="C24" s="6" t="s">
        <v>17</v>
      </c>
      <c r="D24" s="6" t="s">
        <v>25</v>
      </c>
      <c r="E24" s="7" t="n">
        <v>46252</v>
      </c>
      <c r="F24" s="6" t="n">
        <v>60</v>
      </c>
      <c r="G24" s="8" t="n">
        <f aca="false">E24+F24</f>
        <v>46312</v>
      </c>
      <c r="H24" s="6" t="n">
        <f aca="false">G24-$B$3</f>
        <v>-14</v>
      </c>
      <c r="I24" s="6" t="str">
        <f aca="false">IF(H24&lt;0,"OVERDUE",IF(H24&lt;=7,"DUE SOON","OK"))</f>
        <v>OVERDUE</v>
      </c>
      <c r="J24" s="9" t="n">
        <v>678782</v>
      </c>
      <c r="K24" s="10" t="n">
        <v>1200000</v>
      </c>
      <c r="L24" s="11" t="n">
        <f aca="false">J24/K24</f>
        <v>0.565651666666667</v>
      </c>
    </row>
    <row r="25" customFormat="false" ht="15" hidden="false" customHeight="false" outlineLevel="0" collapsed="false">
      <c r="A25" s="6" t="s">
        <v>43</v>
      </c>
      <c r="B25" s="6" t="s">
        <v>20</v>
      </c>
      <c r="C25" s="6" t="s">
        <v>27</v>
      </c>
      <c r="D25" s="6" t="s">
        <v>22</v>
      </c>
      <c r="E25" s="7" t="n">
        <v>46079</v>
      </c>
      <c r="F25" s="6" t="n">
        <v>365</v>
      </c>
      <c r="G25" s="8" t="n">
        <f aca="false">E25+F25</f>
        <v>46444</v>
      </c>
      <c r="H25" s="6" t="n">
        <f aca="false">G25-$B$3</f>
        <v>118</v>
      </c>
      <c r="I25" s="6" t="str">
        <f aca="false">IF(H25&lt;0,"OVERDUE",IF(H25&lt;=7,"DUE SOON","OK"))</f>
        <v>OK</v>
      </c>
      <c r="J25" s="9" t="n">
        <v>926721</v>
      </c>
      <c r="K25" s="10" t="n">
        <v>1200000</v>
      </c>
      <c r="L25" s="11" t="n">
        <f aca="false">J25/K25</f>
        <v>0.7722675</v>
      </c>
    </row>
    <row r="26" customFormat="false" ht="15" hidden="false" customHeight="false" outlineLevel="0" collapsed="false">
      <c r="A26" s="6" t="s">
        <v>44</v>
      </c>
      <c r="B26" s="6" t="s">
        <v>20</v>
      </c>
      <c r="C26" s="6" t="s">
        <v>21</v>
      </c>
      <c r="D26" s="6" t="s">
        <v>34</v>
      </c>
      <c r="E26" s="7" t="n">
        <v>46297</v>
      </c>
      <c r="F26" s="6" t="n">
        <v>90</v>
      </c>
      <c r="G26" s="8" t="n">
        <f aca="false">E26+F26</f>
        <v>46387</v>
      </c>
      <c r="H26" s="6" t="n">
        <f aca="false">G26-$B$3</f>
        <v>61</v>
      </c>
      <c r="I26" s="6" t="str">
        <f aca="false">IF(H26&lt;0,"OVERDUE",IF(H26&lt;=7,"DUE SOON","OK"))</f>
        <v>OK</v>
      </c>
      <c r="J26" s="9" t="n">
        <v>770993</v>
      </c>
      <c r="K26" s="10" t="n">
        <v>1200000</v>
      </c>
      <c r="L26" s="11" t="n">
        <f aca="false">J26/K26</f>
        <v>0.642494166666667</v>
      </c>
    </row>
    <row r="27" customFormat="false" ht="15" hidden="false" customHeight="false" outlineLevel="0" collapsed="false">
      <c r="A27" s="6" t="s">
        <v>45</v>
      </c>
      <c r="B27" s="6" t="s">
        <v>16</v>
      </c>
      <c r="C27" s="6" t="s">
        <v>27</v>
      </c>
      <c r="D27" s="6" t="s">
        <v>34</v>
      </c>
      <c r="E27" s="7" t="n">
        <v>46276</v>
      </c>
      <c r="F27" s="6" t="n">
        <v>90</v>
      </c>
      <c r="G27" s="8" t="n">
        <f aca="false">E27+F27</f>
        <v>46366</v>
      </c>
      <c r="H27" s="6" t="n">
        <f aca="false">G27-$B$3</f>
        <v>40</v>
      </c>
      <c r="I27" s="6" t="str">
        <f aca="false">IF(H27&lt;0,"OVERDUE",IF(H27&lt;=7,"DUE SOON","OK"))</f>
        <v>OK</v>
      </c>
      <c r="J27" s="9" t="n">
        <v>569710</v>
      </c>
      <c r="K27" s="10" t="n">
        <v>1200000</v>
      </c>
      <c r="L27" s="11" t="n">
        <f aca="false">J27/K27</f>
        <v>0.474758333333333</v>
      </c>
    </row>
    <row r="28" customFormat="false" ht="15" hidden="false" customHeight="false" outlineLevel="0" collapsed="false">
      <c r="A28" s="6" t="s">
        <v>46</v>
      </c>
      <c r="B28" s="6" t="s">
        <v>20</v>
      </c>
      <c r="C28" s="6" t="s">
        <v>17</v>
      </c>
      <c r="D28" s="6" t="s">
        <v>47</v>
      </c>
      <c r="E28" s="7" t="n">
        <v>46266</v>
      </c>
      <c r="F28" s="6" t="n">
        <v>548</v>
      </c>
      <c r="G28" s="8" t="n">
        <f aca="false">E28+F28</f>
        <v>46814</v>
      </c>
      <c r="H28" s="6" t="n">
        <f aca="false">G28-$B$3</f>
        <v>488</v>
      </c>
      <c r="I28" s="6" t="str">
        <f aca="false">IF(H28&lt;0,"OVERDUE",IF(H28&lt;=7,"DUE SOON","OK"))</f>
        <v>OK</v>
      </c>
      <c r="J28" s="9" t="n">
        <v>757568</v>
      </c>
      <c r="K28" s="10" t="n">
        <v>1200000</v>
      </c>
      <c r="L28" s="11" t="n">
        <f aca="false">J28/K28</f>
        <v>0.631306666666667</v>
      </c>
    </row>
    <row r="29" customFormat="false" ht="15" hidden="false" customHeight="false" outlineLevel="0" collapsed="false">
      <c r="A29" s="6" t="s">
        <v>48</v>
      </c>
      <c r="B29" s="6" t="s">
        <v>20</v>
      </c>
      <c r="C29" s="6" t="s">
        <v>17</v>
      </c>
      <c r="D29" s="6" t="s">
        <v>18</v>
      </c>
      <c r="E29" s="7" t="n">
        <v>46318</v>
      </c>
      <c r="F29" s="6" t="n">
        <v>30</v>
      </c>
      <c r="G29" s="8" t="n">
        <f aca="false">E29+F29</f>
        <v>46348</v>
      </c>
      <c r="H29" s="6" t="n">
        <f aca="false">G29-$B$3</f>
        <v>22</v>
      </c>
      <c r="I29" s="6" t="str">
        <f aca="false">IF(H29&lt;0,"OVERDUE",IF(H29&lt;=7,"DUE SOON","OK"))</f>
        <v>OK</v>
      </c>
      <c r="J29" s="9" t="n">
        <v>435784</v>
      </c>
      <c r="K29" s="10" t="n">
        <v>1200000</v>
      </c>
      <c r="L29" s="11" t="n">
        <f aca="false">J29/K29</f>
        <v>0.363153333333333</v>
      </c>
    </row>
    <row r="30" customFormat="false" ht="15" hidden="false" customHeight="false" outlineLevel="0" collapsed="false">
      <c r="A30" s="6" t="s">
        <v>49</v>
      </c>
      <c r="B30" s="6" t="s">
        <v>16</v>
      </c>
      <c r="C30" s="6" t="s">
        <v>21</v>
      </c>
      <c r="D30" s="6" t="s">
        <v>18</v>
      </c>
      <c r="E30" s="7" t="n">
        <v>46306</v>
      </c>
      <c r="F30" s="6" t="n">
        <v>30</v>
      </c>
      <c r="G30" s="8" t="n">
        <f aca="false">E30+F30</f>
        <v>46336</v>
      </c>
      <c r="H30" s="6" t="n">
        <f aca="false">G30-$B$3</f>
        <v>10</v>
      </c>
      <c r="I30" s="6" t="str">
        <f aca="false">IF(H30&lt;0,"OVERDUE",IF(H30&lt;=7,"DUE SOON","OK"))</f>
        <v>OK</v>
      </c>
      <c r="J30" s="9" t="n">
        <v>642336</v>
      </c>
      <c r="K30" s="10" t="n">
        <v>1200000</v>
      </c>
      <c r="L30" s="11" t="n">
        <f aca="false">J30/K30</f>
        <v>0.53528</v>
      </c>
    </row>
    <row r="31" customFormat="false" ht="15" hidden="false" customHeight="false" outlineLevel="0" collapsed="false">
      <c r="A31" s="6" t="s">
        <v>50</v>
      </c>
      <c r="B31" s="6" t="s">
        <v>20</v>
      </c>
      <c r="C31" s="6" t="s">
        <v>21</v>
      </c>
      <c r="D31" s="6" t="s">
        <v>34</v>
      </c>
      <c r="E31" s="7" t="n">
        <v>46304</v>
      </c>
      <c r="F31" s="6" t="n">
        <v>90</v>
      </c>
      <c r="G31" s="8" t="n">
        <f aca="false">E31+F31</f>
        <v>46394</v>
      </c>
      <c r="H31" s="6" t="n">
        <f aca="false">G31-$B$3</f>
        <v>68</v>
      </c>
      <c r="I31" s="6" t="str">
        <f aca="false">IF(H31&lt;0,"OVERDUE",IF(H31&lt;=7,"DUE SOON","OK"))</f>
        <v>OK</v>
      </c>
      <c r="J31" s="9" t="n">
        <v>372075</v>
      </c>
      <c r="K31" s="10" t="n">
        <v>1200000</v>
      </c>
      <c r="L31" s="11" t="n">
        <f aca="false">J31/K31</f>
        <v>0.3100625</v>
      </c>
    </row>
    <row r="32" customFormat="false" ht="15" hidden="false" customHeight="false" outlineLevel="0" collapsed="false">
      <c r="A32" s="6" t="s">
        <v>51</v>
      </c>
      <c r="B32" s="6" t="s">
        <v>20</v>
      </c>
      <c r="C32" s="6" t="s">
        <v>21</v>
      </c>
      <c r="D32" s="6" t="s">
        <v>34</v>
      </c>
      <c r="E32" s="7" t="n">
        <v>46290</v>
      </c>
      <c r="F32" s="6" t="n">
        <v>90</v>
      </c>
      <c r="G32" s="8" t="n">
        <f aca="false">E32+F32</f>
        <v>46380</v>
      </c>
      <c r="H32" s="6" t="n">
        <f aca="false">G32-$B$3</f>
        <v>54</v>
      </c>
      <c r="I32" s="6" t="str">
        <f aca="false">IF(H32&lt;0,"OVERDUE",IF(H32&lt;=7,"DUE SOON","OK"))</f>
        <v>OK</v>
      </c>
      <c r="J32" s="9" t="n">
        <v>544656</v>
      </c>
      <c r="K32" s="10" t="n">
        <v>1200000</v>
      </c>
      <c r="L32" s="11" t="n">
        <f aca="false">J32/K32</f>
        <v>0.45388</v>
      </c>
    </row>
    <row r="33" customFormat="false" ht="15" hidden="false" customHeight="false" outlineLevel="0" collapsed="false">
      <c r="A33" s="6" t="s">
        <v>52</v>
      </c>
      <c r="B33" s="6" t="s">
        <v>16</v>
      </c>
      <c r="C33" s="6" t="s">
        <v>17</v>
      </c>
      <c r="D33" s="6" t="s">
        <v>22</v>
      </c>
      <c r="E33" s="7" t="n">
        <v>46271</v>
      </c>
      <c r="F33" s="6" t="n">
        <v>365</v>
      </c>
      <c r="G33" s="8" t="n">
        <f aca="false">E33+F33</f>
        <v>46636</v>
      </c>
      <c r="H33" s="6" t="n">
        <f aca="false">G33-$B$3</f>
        <v>310</v>
      </c>
      <c r="I33" s="6" t="str">
        <f aca="false">IF(H33&lt;0,"OVERDUE",IF(H33&lt;=7,"DUE SOON","OK"))</f>
        <v>OK</v>
      </c>
      <c r="J33" s="9" t="n">
        <v>646847</v>
      </c>
      <c r="K33" s="10" t="n">
        <v>1200000</v>
      </c>
      <c r="L33" s="11" t="n">
        <f aca="false">J33/K33</f>
        <v>0.539039166666667</v>
      </c>
    </row>
    <row r="34" customFormat="false" ht="15" hidden="false" customHeight="false" outlineLevel="0" collapsed="false">
      <c r="A34" s="6" t="s">
        <v>53</v>
      </c>
      <c r="B34" s="6" t="s">
        <v>20</v>
      </c>
      <c r="C34" s="6" t="s">
        <v>21</v>
      </c>
      <c r="D34" s="6" t="s">
        <v>18</v>
      </c>
      <c r="E34" s="7" t="n">
        <v>46316</v>
      </c>
      <c r="F34" s="6" t="n">
        <v>30</v>
      </c>
      <c r="G34" s="8" t="n">
        <f aca="false">E34+F34</f>
        <v>46346</v>
      </c>
      <c r="H34" s="6" t="n">
        <f aca="false">G34-$B$3</f>
        <v>20</v>
      </c>
      <c r="I34" s="6" t="str">
        <f aca="false">IF(H34&lt;0,"OVERDUE",IF(H34&lt;=7,"DUE SOON","OK"))</f>
        <v>OK</v>
      </c>
      <c r="J34" s="9" t="n">
        <v>254389</v>
      </c>
      <c r="K34" s="10" t="n">
        <v>1200000</v>
      </c>
      <c r="L34" s="11" t="n">
        <f aca="false">J34/K34</f>
        <v>0.211990833333333</v>
      </c>
    </row>
    <row r="35" customFormat="false" ht="15" hidden="false" customHeight="false" outlineLevel="0" collapsed="false">
      <c r="A35" s="6" t="s">
        <v>54</v>
      </c>
      <c r="B35" s="6" t="s">
        <v>20</v>
      </c>
      <c r="C35" s="6" t="s">
        <v>21</v>
      </c>
      <c r="D35" s="6" t="s">
        <v>34</v>
      </c>
      <c r="E35" s="7" t="n">
        <v>46259</v>
      </c>
      <c r="F35" s="6" t="n">
        <v>90</v>
      </c>
      <c r="G35" s="8" t="n">
        <f aca="false">E35+F35</f>
        <v>46349</v>
      </c>
      <c r="H35" s="6" t="n">
        <f aca="false">G35-$B$3</f>
        <v>23</v>
      </c>
      <c r="I35" s="6" t="str">
        <f aca="false">IF(H35&lt;0,"OVERDUE",IF(H35&lt;=7,"DUE SOON","OK"))</f>
        <v>OK</v>
      </c>
      <c r="J35" s="9" t="n">
        <v>500521</v>
      </c>
      <c r="K35" s="10" t="n">
        <v>1200000</v>
      </c>
      <c r="L35" s="11" t="n">
        <f aca="false">J35/K35</f>
        <v>0.417100833333333</v>
      </c>
    </row>
  </sheetData>
  <conditionalFormatting sqref="I6:I35">
    <cfRule type="cellIs" priority="2" operator="equal" aboveAverage="0" equalAverage="0" bottom="0" percent="0" rank="0" text="" dxfId="0">
      <formula>"OVERDUE"</formula>
    </cfRule>
    <cfRule type="cellIs" priority="3" operator="equal" aboveAverage="0" equalAverage="0" bottom="0" percent="0" rank="0" text="" dxfId="1">
      <formula>"DUE SOON"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0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4" customFormat="false" ht="15" hidden="false" customHeight="false" outlineLevel="0" collapsed="false">
      <c r="A4" s="5" t="s">
        <v>5</v>
      </c>
      <c r="B4" s="5" t="s">
        <v>57</v>
      </c>
      <c r="C4" s="5" t="s">
        <v>58</v>
      </c>
      <c r="D4" s="5" t="s">
        <v>59</v>
      </c>
      <c r="E4" s="5" t="s">
        <v>60</v>
      </c>
      <c r="F4" s="5" t="s">
        <v>61</v>
      </c>
    </row>
    <row r="5" customFormat="false" ht="15" hidden="false" customHeight="false" outlineLevel="0" collapsed="false">
      <c r="A5" s="6" t="s">
        <v>21</v>
      </c>
      <c r="B5" s="6" t="n">
        <f aca="false">COUNTIF('Loco Schedule'!C6:C35,A5)</f>
        <v>9</v>
      </c>
      <c r="C5" s="6" t="n">
        <f aca="false">COUNTIFS('Loco Schedule'!C6:C35,A5,'Loco Schedule'!I6:I35,"OVERDUE")</f>
        <v>1</v>
      </c>
      <c r="D5" s="6" t="n">
        <f aca="false">COUNTIFS('Loco Schedule'!C6:C35,A5,'Loco Schedule'!I6:I35,"DUE SOON")</f>
        <v>0</v>
      </c>
      <c r="E5" s="6" t="n">
        <f aca="false">B5-C5-D5</f>
        <v>8</v>
      </c>
      <c r="F5" s="11" t="n">
        <f aca="false">IF(B5=0,0,C5/B5)</f>
        <v>0.111111111111111</v>
      </c>
    </row>
    <row r="6" customFormat="false" ht="15" hidden="false" customHeight="false" outlineLevel="0" collapsed="false">
      <c r="A6" s="6" t="s">
        <v>27</v>
      </c>
      <c r="B6" s="6" t="n">
        <f aca="false">COUNTIF('Loco Schedule'!C6:C35,A6)</f>
        <v>7</v>
      </c>
      <c r="C6" s="6" t="n">
        <f aca="false">COUNTIFS('Loco Schedule'!C6:C35,A6,'Loco Schedule'!I6:I35,"OVERDUE")</f>
        <v>0</v>
      </c>
      <c r="D6" s="6" t="n">
        <f aca="false">COUNTIFS('Loco Schedule'!C6:C35,A6,'Loco Schedule'!I6:I35,"DUE SOON")</f>
        <v>0</v>
      </c>
      <c r="E6" s="6" t="n">
        <f aca="false">B6-C6-D6</f>
        <v>7</v>
      </c>
      <c r="F6" s="11" t="n">
        <f aca="false">IF(B6=0,0,C6/B6)</f>
        <v>0</v>
      </c>
    </row>
    <row r="7" customFormat="false" ht="15" hidden="false" customHeight="false" outlineLevel="0" collapsed="false">
      <c r="A7" s="6" t="s">
        <v>17</v>
      </c>
      <c r="B7" s="6" t="n">
        <f aca="false">COUNTIF('Loco Schedule'!C6:C35,A7)</f>
        <v>14</v>
      </c>
      <c r="C7" s="6" t="n">
        <f aca="false">COUNTIFS('Loco Schedule'!C6:C35,A7,'Loco Schedule'!I6:I35,"OVERDUE")</f>
        <v>2</v>
      </c>
      <c r="D7" s="6" t="n">
        <f aca="false">COUNTIFS('Loco Schedule'!C6:C35,A7,'Loco Schedule'!I6:I35,"DUE SOON")</f>
        <v>0</v>
      </c>
      <c r="E7" s="6" t="n">
        <f aca="false">B7-C7-D7</f>
        <v>12</v>
      </c>
      <c r="F7" s="11" t="n">
        <f aca="false">IF(B7=0,0,C7/B7)</f>
        <v>0.142857142857143</v>
      </c>
    </row>
    <row r="8" customFormat="false" ht="15" hidden="false" customHeight="false" outlineLevel="0" collapsed="false">
      <c r="A8" s="3" t="s">
        <v>57</v>
      </c>
      <c r="B8" s="3" t="n">
        <f aca="false">SUM(B5:B7)</f>
        <v>30</v>
      </c>
      <c r="C8" s="3" t="n">
        <f aca="false">SUM(C5:C7)</f>
        <v>3</v>
      </c>
      <c r="D8" s="3" t="n">
        <f aca="false">SUM(D5:D7)</f>
        <v>0</v>
      </c>
      <c r="E8" s="3" t="n">
        <f aca="false">SUM(E5:E7)</f>
        <v>27</v>
      </c>
      <c r="F8" s="12" t="n">
        <f aca="false">IF(B8=0,0,C8/B8)</f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4" customFormat="false" ht="15" hidden="false" customHeight="false" outlineLevel="0" collapsed="false">
      <c r="A4" s="5" t="s">
        <v>64</v>
      </c>
      <c r="B4" s="5" t="s">
        <v>8</v>
      </c>
      <c r="C4" s="5" t="s">
        <v>65</v>
      </c>
    </row>
    <row r="5" customFormat="false" ht="15" hidden="false" customHeight="false" outlineLevel="0" collapsed="false">
      <c r="A5" s="6" t="s">
        <v>18</v>
      </c>
      <c r="B5" s="6" t="n">
        <v>30</v>
      </c>
      <c r="C5" s="6" t="n">
        <v>8</v>
      </c>
    </row>
    <row r="6" customFormat="false" ht="15" hidden="false" customHeight="false" outlineLevel="0" collapsed="false">
      <c r="A6" s="6" t="s">
        <v>25</v>
      </c>
      <c r="B6" s="6" t="n">
        <v>60</v>
      </c>
      <c r="C6" s="6" t="n">
        <v>14</v>
      </c>
    </row>
    <row r="7" customFormat="false" ht="15" hidden="false" customHeight="false" outlineLevel="0" collapsed="false">
      <c r="A7" s="6" t="s">
        <v>34</v>
      </c>
      <c r="B7" s="6" t="n">
        <v>90</v>
      </c>
      <c r="C7" s="6" t="n">
        <v>18</v>
      </c>
    </row>
    <row r="8" customFormat="false" ht="15" hidden="false" customHeight="false" outlineLevel="0" collapsed="false">
      <c r="A8" s="6" t="s">
        <v>23</v>
      </c>
      <c r="B8" s="6" t="n">
        <v>180</v>
      </c>
      <c r="C8" s="6" t="n">
        <v>28</v>
      </c>
    </row>
    <row r="9" customFormat="false" ht="15" hidden="false" customHeight="false" outlineLevel="0" collapsed="false">
      <c r="A9" s="6" t="s">
        <v>22</v>
      </c>
      <c r="B9" s="6" t="n">
        <v>365</v>
      </c>
      <c r="C9" s="6" t="n">
        <v>76</v>
      </c>
    </row>
    <row r="10" customFormat="false" ht="15" hidden="false" customHeight="false" outlineLevel="0" collapsed="false">
      <c r="A10" s="6" t="s">
        <v>47</v>
      </c>
      <c r="B10" s="6" t="n">
        <v>548</v>
      </c>
      <c r="C10" s="6" t="n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2026-10-31T02:46:29Z</dcterms:created>
  <dc:creator>openpyxl</dc:creator>
  <dc:description/>
  <dc:language>en-US</dc:language>
  <cp:lastModifiedBy/>
  <dcterms:modified xsi:type="dcterms:W3CDTF">2026-10-31T02:46:29Z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