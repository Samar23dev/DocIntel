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 Geometry" sheetId="1" state="visible" r:id="rId3"/>
    <sheet name="Lim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<sst xmlns="http://schemas.openxmlformats.org/spreadsheetml/2006/main" count="33" uniqueCount="29">
  <si>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 xml:space="preserve">Track Geometry Measurement Log - SBC-WFD UP Line</t>
  </si>
  <si>
    <t xml:space="preserve">Synthetic sample data | Limits in 'Limits' sheet (blue = editable input)</t>
  </si>
  <si>
    <t xml:space="preserve">Summary</t>
  </si>
  <si>
    <t xml:space="preserve">Total points:</t>
  </si>
  <si>
    <t xml:space="preserve">Compliant:</t>
  </si>
  <si>
    <t xml:space="preserve">% Compliant:</t>
  </si>
  <si>
    <t xml:space="preserve">Avg gauge dev:</t>
  </si>
  <si>
    <t xml:space="preserve">Km</t>
  </si>
  <si>
    <t xml:space="preserve">Date</t>
  </si>
  <si>
    <t xml:space="preserve">Gauge (mm)</t>
  </si>
  <si>
    <t xml:space="preserve">Gauge Dev (mm)</t>
  </si>
  <si>
    <t xml:space="preserve">Cross-level (mm)</t>
  </si>
  <si>
    <t xml:space="preserve">Twist (mm/3.6m)</t>
  </si>
  <si>
    <t xml:space="preserve">Alignment (mm)</t>
  </si>
  <si>
    <t xml:space="preserve">Gauge OK?</t>
  </si>
  <si>
    <t xml:space="preserve">Cross-level OK?</t>
  </si>
  <si>
    <t xml:space="preserve">Twist OK?</t>
  </si>
  <si>
    <t xml:space="preserve">Alignment OK?</t>
  </si>
  <si>
    <t xml:space="preserve">Overall Status</t>
  </si>
  <si>
    <t xml:space="preserve">Tolerance Limits</t>
  </si>
  <si>
    <t xml:space="preserve">Edit blue cells; Track Geometry sheet recalculates</t>
  </si>
  <si>
    <t xml:space="preserve">Nominal gauge</t>
  </si>
  <si>
    <t xml:space="preserve">mm</t>
  </si>
  <si>
    <t xml:space="preserve">Gauge tolerance (+)</t>
  </si>
  <si>
    <t xml:space="preserve">Gauge tolerance (-)</t>
  </si>
  <si>
    <t xml:space="preserve">Max cross-level</t>
  </si>
  <si>
    <t xml:space="preserve">Max twist</t>
  </si>
  <si>
    <t xml:space="preserve">mm/3.6 m</t>
  </si>
  <si>
    <t xml:space="preserve">Max alignment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</si>
</sst>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0.000"/>
    <numFmt numFmtId="168" formatCode="dd\-mmm\-yyyy"/>
    <numFmt numFmtId="169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2"/>
    <col collapsed="false" customWidth="true" hidden="false" outlineLevel="0" max="7" min="4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n">
        <f aca="false">COUNTA(A6:A45)</f>
        <v>40</v>
      </c>
      <c r="D3" s="4" t="s">
        <v>4</v>
      </c>
      <c r="E3" s="4" t="n">
        <f aca="false">COUNTIF(L6:L45,"Compliant")</f>
        <v>18</v>
      </c>
      <c r="F3" s="4" t="s">
        <v>5</v>
      </c>
      <c r="G3" s="5" t="n">
        <f aca="false">IF(C3=0,0,E3/C3)</f>
        <v>0.45</v>
      </c>
      <c r="H3" s="4" t="s">
        <v>6</v>
      </c>
      <c r="I3" s="6" t="n">
        <f aca="false">AVERAGE(D6:D45)</f>
        <v>1.075</v>
      </c>
    </row>
    <row r="5" customFormat="false" ht="23.85" hidden="false" customHeight="false" outlineLevel="0" collapsed="false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 t="s">
        <v>17</v>
      </c>
      <c r="L5" s="7" t="s">
        <v>18</v>
      </c>
    </row>
    <row r="6" customFormat="false" ht="15" hidden="false" customHeight="false" outlineLevel="0" collapsed="false">
      <c r="A6" s="8" t="n">
        <v>1</v>
      </c>
      <c r="B6" s="9" t="n">
        <v>46309</v>
      </c>
      <c r="C6" s="10" t="n">
        <v>1675</v>
      </c>
      <c r="D6" s="11" t="n">
        <f aca="false">C6-Limits!$B$4</f>
        <v>-1</v>
      </c>
      <c r="E6" s="10" t="n">
        <v>-6</v>
      </c>
      <c r="F6" s="10" t="n">
        <v>6</v>
      </c>
      <c r="G6" s="10" t="n">
        <v>2</v>
      </c>
      <c r="H6" s="12" t="str">
        <f aca="false">IF(AND(D6&lt;=Limits!$B$5,D6&gt;=-Limits!$B$6),"OK","FAIL")</f>
        <v>OK</v>
      </c>
      <c r="I6" s="12" t="str">
        <f aca="false">IF(ABS(E6)&lt;=Limits!$B$7,"OK","FAIL")</f>
        <v>OK</v>
      </c>
      <c r="J6" s="12" t="str">
        <f aca="false">IF(F6&lt;=Limits!$B$8,"OK","FAIL")</f>
        <v>OK</v>
      </c>
      <c r="K6" s="12" t="str">
        <f aca="false">IF(G6&lt;=Limits!$B$9,"OK","FAIL")</f>
        <v>OK</v>
      </c>
      <c r="L6" s="11" t="str">
        <f aca="false">IF(COUNTIF(H6:K6,"FAIL")=0,"Compliant",COUNTIF(H6:K6,"FAIL")&amp;" parameter(s) out of limit")</f>
        <v>Compliant</v>
      </c>
    </row>
    <row r="7" customFormat="false" ht="15" hidden="false" customHeight="false" outlineLevel="0" collapsed="false">
      <c r="A7" s="8" t="n">
        <v>1.5</v>
      </c>
      <c r="B7" s="9" t="n">
        <v>46309</v>
      </c>
      <c r="C7" s="10" t="n">
        <v>1676</v>
      </c>
      <c r="D7" s="11" t="n">
        <f aca="false">C7-Limits!$B$4</f>
        <v>0</v>
      </c>
      <c r="E7" s="10" t="n">
        <v>-4</v>
      </c>
      <c r="F7" s="10" t="n">
        <v>3</v>
      </c>
      <c r="G7" s="10" t="n">
        <v>6</v>
      </c>
      <c r="H7" s="12" t="str">
        <f aca="false">IF(AND(D7&lt;=Limits!$B$5,D7&gt;=-Limits!$B$6),"OK","FAIL")</f>
        <v>OK</v>
      </c>
      <c r="I7" s="12" t="str">
        <f aca="false">IF(ABS(E7)&lt;=Limits!$B$7,"OK","FAIL")</f>
        <v>OK</v>
      </c>
      <c r="J7" s="12" t="str">
        <f aca="false">IF(F7&lt;=Limits!$B$8,"OK","FAIL")</f>
        <v>OK</v>
      </c>
      <c r="K7" s="12" t="str">
        <f aca="false">IF(G7&lt;=Limits!$B$9,"OK","FAIL")</f>
        <v>FAIL</v>
      </c>
      <c r="L7" s="11" t="str">
        <f aca="false">IF(COUNTIF(H7:K7,"FAIL")=0,"Compliant",COUNTIF(H7:K7,"FAIL")&amp;" parameter(s) out of limit")</f>
        <v>1 parameter(s) out of limit</v>
      </c>
    </row>
    <row r="8" customFormat="false" ht="15" hidden="false" customHeight="false" outlineLevel="0" collapsed="false">
      <c r="A8" s="8" t="n">
        <v>2</v>
      </c>
      <c r="B8" s="9" t="n">
        <v>46309</v>
      </c>
      <c r="C8" s="10" t="n">
        <v>1681</v>
      </c>
      <c r="D8" s="11" t="n">
        <f aca="false">C8-Limits!$B$4</f>
        <v>5</v>
      </c>
      <c r="E8" s="10" t="n">
        <v>-5</v>
      </c>
      <c r="F8" s="10" t="n">
        <v>8</v>
      </c>
      <c r="G8" s="10" t="n">
        <v>1</v>
      </c>
      <c r="H8" s="12" t="str">
        <f aca="false">IF(AND(D8&lt;=Limits!$B$5,D8&gt;=-Limits!$B$6),"OK","FAIL")</f>
        <v>OK</v>
      </c>
      <c r="I8" s="12" t="str">
        <f aca="false">IF(ABS(E8)&lt;=Limits!$B$7,"OK","FAIL")</f>
        <v>OK</v>
      </c>
      <c r="J8" s="12" t="str">
        <f aca="false">IF(F8&lt;=Limits!$B$8,"OK","FAIL")</f>
        <v>OK</v>
      </c>
      <c r="K8" s="12" t="str">
        <f aca="false">IF(G8&lt;=Limits!$B$9,"OK","FAIL")</f>
        <v>OK</v>
      </c>
      <c r="L8" s="11" t="str">
        <f aca="false">IF(COUNTIF(H8:K8,"FAIL")=0,"Compliant",COUNTIF(H8:K8,"FAIL")&amp;" parameter(s) out of limit")</f>
        <v>Compliant</v>
      </c>
    </row>
    <row r="9" customFormat="false" ht="15" hidden="false" customHeight="false" outlineLevel="0" collapsed="false">
      <c r="A9" s="8" t="n">
        <v>2.5</v>
      </c>
      <c r="B9" s="9" t="n">
        <v>46309</v>
      </c>
      <c r="C9" s="10" t="n">
        <v>1674</v>
      </c>
      <c r="D9" s="11" t="n">
        <f aca="false">C9-Limits!$B$4</f>
        <v>-2</v>
      </c>
      <c r="E9" s="10" t="n">
        <v>-5</v>
      </c>
      <c r="F9" s="10" t="n">
        <v>5</v>
      </c>
      <c r="G9" s="10" t="n">
        <v>2</v>
      </c>
      <c r="H9" s="12" t="str">
        <f aca="false">IF(AND(D9&lt;=Limits!$B$5,D9&gt;=-Limits!$B$6),"OK","FAIL")</f>
        <v>OK</v>
      </c>
      <c r="I9" s="12" t="str">
        <f aca="false">IF(ABS(E9)&lt;=Limits!$B$7,"OK","FAIL")</f>
        <v>OK</v>
      </c>
      <c r="J9" s="12" t="str">
        <f aca="false">IF(F9&lt;=Limits!$B$8,"OK","FAIL")</f>
        <v>OK</v>
      </c>
      <c r="K9" s="12" t="str">
        <f aca="false">IF(G9&lt;=Limits!$B$9,"OK","FAIL")</f>
        <v>OK</v>
      </c>
      <c r="L9" s="11" t="str">
        <f aca="false">IF(COUNTIF(H9:K9,"FAIL")=0,"Compliant",COUNTIF(H9:K9,"FAIL")&amp;" parameter(s) out of limit")</f>
        <v>Compliant</v>
      </c>
    </row>
    <row r="10" customFormat="false" ht="15" hidden="false" customHeight="false" outlineLevel="0" collapsed="false">
      <c r="A10" s="8" t="n">
        <v>3</v>
      </c>
      <c r="B10" s="9" t="n">
        <v>46309</v>
      </c>
      <c r="C10" s="10" t="n">
        <v>1681</v>
      </c>
      <c r="D10" s="11" t="n">
        <f aca="false">C10-Limits!$B$4</f>
        <v>5</v>
      </c>
      <c r="E10" s="10" t="n">
        <v>3</v>
      </c>
      <c r="F10" s="10" t="n">
        <v>2</v>
      </c>
      <c r="G10" s="10" t="n">
        <v>5</v>
      </c>
      <c r="H10" s="12" t="str">
        <f aca="false">IF(AND(D10&lt;=Limits!$B$5,D10&gt;=-Limits!$B$6),"OK","FAIL")</f>
        <v>OK</v>
      </c>
      <c r="I10" s="12" t="str">
        <f aca="false">IF(ABS(E10)&lt;=Limits!$B$7,"OK","FAIL")</f>
        <v>OK</v>
      </c>
      <c r="J10" s="12" t="str">
        <f aca="false">IF(F10&lt;=Limits!$B$8,"OK","FAIL")</f>
        <v>OK</v>
      </c>
      <c r="K10" s="12" t="str">
        <f aca="false">IF(G10&lt;=Limits!$B$9,"OK","FAIL")</f>
        <v>OK</v>
      </c>
      <c r="L10" s="11" t="str">
        <f aca="false">IF(COUNTIF(H10:K10,"FAIL")=0,"Compliant",COUNTIF(H10:K10,"FAIL")&amp;" parameter(s) out of limit")</f>
        <v>Compliant</v>
      </c>
    </row>
    <row r="11" customFormat="false" ht="15" hidden="false" customHeight="false" outlineLevel="0" collapsed="false">
      <c r="A11" s="8" t="n">
        <v>3.5</v>
      </c>
      <c r="B11" s="9" t="n">
        <v>46309</v>
      </c>
      <c r="C11" s="10" t="n">
        <v>1676</v>
      </c>
      <c r="D11" s="11" t="n">
        <f aca="false">C11-Limits!$B$4</f>
        <v>0</v>
      </c>
      <c r="E11" s="10" t="n">
        <v>5</v>
      </c>
      <c r="F11" s="10" t="n">
        <v>10</v>
      </c>
      <c r="G11" s="10" t="n">
        <v>4</v>
      </c>
      <c r="H11" s="12" t="str">
        <f aca="false">IF(AND(D11&lt;=Limits!$B$5,D11&gt;=-Limits!$B$6),"OK","FAIL")</f>
        <v>OK</v>
      </c>
      <c r="I11" s="12" t="str">
        <f aca="false">IF(ABS(E11)&lt;=Limits!$B$7,"OK","FAIL")</f>
        <v>OK</v>
      </c>
      <c r="J11" s="12" t="str">
        <f aca="false">IF(F11&lt;=Limits!$B$8,"OK","FAIL")</f>
        <v>FAIL</v>
      </c>
      <c r="K11" s="12" t="str">
        <f aca="false">IF(G11&lt;=Limits!$B$9,"OK","FAIL")</f>
        <v>OK</v>
      </c>
      <c r="L11" s="11" t="str">
        <f aca="false">IF(COUNTIF(H11:K11,"FAIL")=0,"Compliant",COUNTIF(H11:K11,"FAIL")&amp;" parameter(s) out of limit")</f>
        <v>1 parameter(s) out of limit</v>
      </c>
    </row>
    <row r="12" customFormat="false" ht="15" hidden="false" customHeight="false" outlineLevel="0" collapsed="false">
      <c r="A12" s="8" t="n">
        <v>4</v>
      </c>
      <c r="B12" s="9" t="n">
        <v>46309</v>
      </c>
      <c r="C12" s="10" t="n">
        <v>1676</v>
      </c>
      <c r="D12" s="11" t="n">
        <f aca="false">C12-Limits!$B$4</f>
        <v>0</v>
      </c>
      <c r="E12" s="10" t="n">
        <v>1</v>
      </c>
      <c r="F12" s="10" t="n">
        <v>6</v>
      </c>
      <c r="G12" s="10" t="n">
        <v>7</v>
      </c>
      <c r="H12" s="12" t="str">
        <f aca="false">IF(AND(D12&lt;=Limits!$B$5,D12&gt;=-Limits!$B$6),"OK","FAIL")</f>
        <v>OK</v>
      </c>
      <c r="I12" s="12" t="str">
        <f aca="false">IF(ABS(E12)&lt;=Limits!$B$7,"OK","FAIL")</f>
        <v>OK</v>
      </c>
      <c r="J12" s="12" t="str">
        <f aca="false">IF(F12&lt;=Limits!$B$8,"OK","FAIL")</f>
        <v>OK</v>
      </c>
      <c r="K12" s="12" t="str">
        <f aca="false">IF(G12&lt;=Limits!$B$9,"OK","FAIL")</f>
        <v>FAIL</v>
      </c>
      <c r="L12" s="11" t="str">
        <f aca="false">IF(COUNTIF(H12:K12,"FAIL")=0,"Compliant",COUNTIF(H12:K12,"FAIL")&amp;" parameter(s) out of limit")</f>
        <v>1 parameter(s) out of limit</v>
      </c>
    </row>
    <row r="13" customFormat="false" ht="15" hidden="false" customHeight="false" outlineLevel="0" collapsed="false">
      <c r="A13" s="8" t="n">
        <v>4.5</v>
      </c>
      <c r="B13" s="9" t="n">
        <v>46309</v>
      </c>
      <c r="C13" s="10" t="n">
        <v>1674</v>
      </c>
      <c r="D13" s="11" t="n">
        <f aca="false">C13-Limits!$B$4</f>
        <v>-2</v>
      </c>
      <c r="E13" s="10" t="n">
        <v>6</v>
      </c>
      <c r="F13" s="10" t="n">
        <v>4</v>
      </c>
      <c r="G13" s="10" t="n">
        <v>6</v>
      </c>
      <c r="H13" s="12" t="str">
        <f aca="false">IF(AND(D13&lt;=Limits!$B$5,D13&gt;=-Limits!$B$6),"OK","FAIL")</f>
        <v>OK</v>
      </c>
      <c r="I13" s="12" t="str">
        <f aca="false">IF(ABS(E13)&lt;=Limits!$B$7,"OK","FAIL")</f>
        <v>OK</v>
      </c>
      <c r="J13" s="12" t="str">
        <f aca="false">IF(F13&lt;=Limits!$B$8,"OK","FAIL")</f>
        <v>OK</v>
      </c>
      <c r="K13" s="12" t="str">
        <f aca="false">IF(G13&lt;=Limits!$B$9,"OK","FAIL")</f>
        <v>FAIL</v>
      </c>
      <c r="L13" s="11" t="str">
        <f aca="false">IF(COUNTIF(H13:K13,"FAIL")=0,"Compliant",COUNTIF(H13:K13,"FAIL")&amp;" parameter(s) out of limit")</f>
        <v>1 parameter(s) out of limit</v>
      </c>
    </row>
    <row r="14" customFormat="false" ht="15" hidden="false" customHeight="false" outlineLevel="0" collapsed="false">
      <c r="A14" s="8" t="n">
        <v>5</v>
      </c>
      <c r="B14" s="9" t="n">
        <v>46309</v>
      </c>
      <c r="C14" s="10" t="n">
        <v>1679</v>
      </c>
      <c r="D14" s="11" t="n">
        <f aca="false">C14-Limits!$B$4</f>
        <v>3</v>
      </c>
      <c r="E14" s="10" t="n">
        <v>-1</v>
      </c>
      <c r="F14" s="10" t="n">
        <v>6</v>
      </c>
      <c r="G14" s="10" t="n">
        <v>2</v>
      </c>
      <c r="H14" s="12" t="str">
        <f aca="false">IF(AND(D14&lt;=Limits!$B$5,D14&gt;=-Limits!$B$6),"OK","FAIL")</f>
        <v>OK</v>
      </c>
      <c r="I14" s="12" t="str">
        <f aca="false">IF(ABS(E14)&lt;=Limits!$B$7,"OK","FAIL")</f>
        <v>OK</v>
      </c>
      <c r="J14" s="12" t="str">
        <f aca="false">IF(F14&lt;=Limits!$B$8,"OK","FAIL")</f>
        <v>OK</v>
      </c>
      <c r="K14" s="12" t="str">
        <f aca="false">IF(G14&lt;=Limits!$B$9,"OK","FAIL")</f>
        <v>OK</v>
      </c>
      <c r="L14" s="11" t="str">
        <f aca="false">IF(COUNTIF(H14:K14,"FAIL")=0,"Compliant",COUNTIF(H14:K14,"FAIL")&amp;" parameter(s) out of limit")</f>
        <v>Compliant</v>
      </c>
    </row>
    <row r="15" customFormat="false" ht="15" hidden="false" customHeight="false" outlineLevel="0" collapsed="false">
      <c r="A15" s="8" t="n">
        <v>5.5</v>
      </c>
      <c r="B15" s="9" t="n">
        <v>46309</v>
      </c>
      <c r="C15" s="10" t="n">
        <v>1676</v>
      </c>
      <c r="D15" s="11" t="n">
        <f aca="false">C15-Limits!$B$4</f>
        <v>0</v>
      </c>
      <c r="E15" s="10" t="n">
        <v>6</v>
      </c>
      <c r="F15" s="10" t="n">
        <v>7</v>
      </c>
      <c r="G15" s="10" t="n">
        <v>1</v>
      </c>
      <c r="H15" s="12" t="str">
        <f aca="false">IF(AND(D15&lt;=Limits!$B$5,D15&gt;=-Limits!$B$6),"OK","FAIL")</f>
        <v>OK</v>
      </c>
      <c r="I15" s="12" t="str">
        <f aca="false">IF(ABS(E15)&lt;=Limits!$B$7,"OK","FAIL")</f>
        <v>OK</v>
      </c>
      <c r="J15" s="12" t="str">
        <f aca="false">IF(F15&lt;=Limits!$B$8,"OK","FAIL")</f>
        <v>OK</v>
      </c>
      <c r="K15" s="12" t="str">
        <f aca="false">IF(G15&lt;=Limits!$B$9,"OK","FAIL")</f>
        <v>OK</v>
      </c>
      <c r="L15" s="11" t="str">
        <f aca="false">IF(COUNTIF(H15:K15,"FAIL")=0,"Compliant",COUNTIF(H15:K15,"FAIL")&amp;" parameter(s) out of limit")</f>
        <v>Compliant</v>
      </c>
    </row>
    <row r="16" customFormat="false" ht="15" hidden="false" customHeight="false" outlineLevel="0" collapsed="false">
      <c r="A16" s="8" t="n">
        <v>6</v>
      </c>
      <c r="B16" s="9" t="n">
        <v>46309</v>
      </c>
      <c r="C16" s="10" t="n">
        <v>1675</v>
      </c>
      <c r="D16" s="11" t="n">
        <f aca="false">C16-Limits!$B$4</f>
        <v>-1</v>
      </c>
      <c r="E16" s="10" t="n">
        <v>0</v>
      </c>
      <c r="F16" s="10" t="n">
        <v>3</v>
      </c>
      <c r="G16" s="10" t="n">
        <v>3</v>
      </c>
      <c r="H16" s="12" t="str">
        <f aca="false">IF(AND(D16&lt;=Limits!$B$5,D16&gt;=-Limits!$B$6),"OK","FAIL")</f>
        <v>OK</v>
      </c>
      <c r="I16" s="12" t="str">
        <f aca="false">IF(ABS(E16)&lt;=Limits!$B$7,"OK","FAIL")</f>
        <v>OK</v>
      </c>
      <c r="J16" s="12" t="str">
        <f aca="false">IF(F16&lt;=Limits!$B$8,"OK","FAIL")</f>
        <v>OK</v>
      </c>
      <c r="K16" s="12" t="str">
        <f aca="false">IF(G16&lt;=Limits!$B$9,"OK","FAIL")</f>
        <v>OK</v>
      </c>
      <c r="L16" s="11" t="str">
        <f aca="false">IF(COUNTIF(H16:K16,"FAIL")=0,"Compliant",COUNTIF(H16:K16,"FAIL")&amp;" parameter(s) out of limit")</f>
        <v>Compliant</v>
      </c>
    </row>
    <row r="17" customFormat="false" ht="15" hidden="false" customHeight="false" outlineLevel="0" collapsed="false">
      <c r="A17" s="8" t="n">
        <v>6.5</v>
      </c>
      <c r="B17" s="9" t="n">
        <v>46309</v>
      </c>
      <c r="C17" s="10" t="n">
        <v>1678</v>
      </c>
      <c r="D17" s="11" t="n">
        <f aca="false">C17-Limits!$B$4</f>
        <v>2</v>
      </c>
      <c r="E17" s="10" t="n">
        <v>3</v>
      </c>
      <c r="F17" s="10" t="n">
        <v>6</v>
      </c>
      <c r="G17" s="10" t="n">
        <v>7</v>
      </c>
      <c r="H17" s="12" t="str">
        <f aca="false">IF(AND(D17&lt;=Limits!$B$5,D17&gt;=-Limits!$B$6),"OK","FAIL")</f>
        <v>OK</v>
      </c>
      <c r="I17" s="12" t="str">
        <f aca="false">IF(ABS(E17)&lt;=Limits!$B$7,"OK","FAIL")</f>
        <v>OK</v>
      </c>
      <c r="J17" s="12" t="str">
        <f aca="false">IF(F17&lt;=Limits!$B$8,"OK","FAIL")</f>
        <v>OK</v>
      </c>
      <c r="K17" s="12" t="str">
        <f aca="false">IF(G17&lt;=Limits!$B$9,"OK","FAIL")</f>
        <v>FAIL</v>
      </c>
      <c r="L17" s="11" t="str">
        <f aca="false">IF(COUNTIF(H17:K17,"FAIL")=0,"Compliant",COUNTIF(H17:K17,"FAIL")&amp;" parameter(s) out of limit")</f>
        <v>1 parameter(s) out of limit</v>
      </c>
    </row>
    <row r="18" customFormat="false" ht="15" hidden="false" customHeight="false" outlineLevel="0" collapsed="false">
      <c r="A18" s="8" t="n">
        <v>7</v>
      </c>
      <c r="B18" s="9" t="n">
        <v>46309</v>
      </c>
      <c r="C18" s="10" t="n">
        <v>1674</v>
      </c>
      <c r="D18" s="11" t="n">
        <f aca="false">C18-Limits!$B$4</f>
        <v>-2</v>
      </c>
      <c r="E18" s="10" t="n">
        <v>5</v>
      </c>
      <c r="F18" s="10" t="n">
        <v>9</v>
      </c>
      <c r="G18" s="10" t="n">
        <v>5</v>
      </c>
      <c r="H18" s="12" t="str">
        <f aca="false">IF(AND(D18&lt;=Limits!$B$5,D18&gt;=-Limits!$B$6),"OK","FAIL")</f>
        <v>OK</v>
      </c>
      <c r="I18" s="12" t="str">
        <f aca="false">IF(ABS(E18)&lt;=Limits!$B$7,"OK","FAIL")</f>
        <v>OK</v>
      </c>
      <c r="J18" s="12" t="str">
        <f aca="false">IF(F18&lt;=Limits!$B$8,"OK","FAIL")</f>
        <v>FAIL</v>
      </c>
      <c r="K18" s="12" t="str">
        <f aca="false">IF(G18&lt;=Limits!$B$9,"OK","FAIL")</f>
        <v>OK</v>
      </c>
      <c r="L18" s="11" t="str">
        <f aca="false">IF(COUNTIF(H18:K18,"FAIL")=0,"Compliant",COUNTIF(H18:K18,"FAIL")&amp;" parameter(s) out of limit")</f>
        <v>1 parameter(s) out of limit</v>
      </c>
    </row>
    <row r="19" customFormat="false" ht="15" hidden="false" customHeight="false" outlineLevel="0" collapsed="false">
      <c r="A19" s="8" t="n">
        <v>7.5</v>
      </c>
      <c r="B19" s="9" t="n">
        <v>46309</v>
      </c>
      <c r="C19" s="10" t="n">
        <v>1675</v>
      </c>
      <c r="D19" s="11" t="n">
        <f aca="false">C19-Limits!$B$4</f>
        <v>-1</v>
      </c>
      <c r="E19" s="10" t="n">
        <v>0</v>
      </c>
      <c r="F19" s="10" t="n">
        <v>3</v>
      </c>
      <c r="G19" s="10" t="n">
        <v>5</v>
      </c>
      <c r="H19" s="12" t="str">
        <f aca="false">IF(AND(D19&lt;=Limits!$B$5,D19&gt;=-Limits!$B$6),"OK","FAIL")</f>
        <v>OK</v>
      </c>
      <c r="I19" s="12" t="str">
        <f aca="false">IF(ABS(E19)&lt;=Limits!$B$7,"OK","FAIL")</f>
        <v>OK</v>
      </c>
      <c r="J19" s="12" t="str">
        <f aca="false">IF(F19&lt;=Limits!$B$8,"OK","FAIL")</f>
        <v>OK</v>
      </c>
      <c r="K19" s="12" t="str">
        <f aca="false">IF(G19&lt;=Limits!$B$9,"OK","FAIL")</f>
        <v>OK</v>
      </c>
      <c r="L19" s="11" t="str">
        <f aca="false">IF(COUNTIF(H19:K19,"FAIL")=0,"Compliant",COUNTIF(H19:K19,"FAIL")&amp;" parameter(s) out of limit")</f>
        <v>Compliant</v>
      </c>
    </row>
    <row r="20" customFormat="false" ht="15" hidden="false" customHeight="false" outlineLevel="0" collapsed="false">
      <c r="A20" s="8" t="n">
        <v>8</v>
      </c>
      <c r="B20" s="9" t="n">
        <v>46309</v>
      </c>
      <c r="C20" s="10" t="n">
        <v>1677</v>
      </c>
      <c r="D20" s="11" t="n">
        <f aca="false">C20-Limits!$B$4</f>
        <v>1</v>
      </c>
      <c r="E20" s="10" t="n">
        <v>7</v>
      </c>
      <c r="F20" s="10" t="n">
        <v>7</v>
      </c>
      <c r="G20" s="10" t="n">
        <v>5</v>
      </c>
      <c r="H20" s="12" t="str">
        <f aca="false">IF(AND(D20&lt;=Limits!$B$5,D20&gt;=-Limits!$B$6),"OK","FAIL")</f>
        <v>OK</v>
      </c>
      <c r="I20" s="12" t="str">
        <f aca="false">IF(ABS(E20)&lt;=Limits!$B$7,"OK","FAIL")</f>
        <v>FAIL</v>
      </c>
      <c r="J20" s="12" t="str">
        <f aca="false">IF(F20&lt;=Limits!$B$8,"OK","FAIL")</f>
        <v>OK</v>
      </c>
      <c r="K20" s="12" t="str">
        <f aca="false">IF(G20&lt;=Limits!$B$9,"OK","FAIL")</f>
        <v>OK</v>
      </c>
      <c r="L20" s="11" t="str">
        <f aca="false">IF(COUNTIF(H20:K20,"FAIL")=0,"Compliant",COUNTIF(H20:K20,"FAIL")&amp;" parameter(s) out of limit")</f>
        <v>1 parameter(s) out of limit</v>
      </c>
    </row>
    <row r="21" customFormat="false" ht="15" hidden="false" customHeight="false" outlineLevel="0" collapsed="false">
      <c r="A21" s="8" t="n">
        <v>8.5</v>
      </c>
      <c r="B21" s="9" t="n">
        <v>46309</v>
      </c>
      <c r="C21" s="10" t="n">
        <v>1676</v>
      </c>
      <c r="D21" s="11" t="n">
        <f aca="false">C21-Limits!$B$4</f>
        <v>0</v>
      </c>
      <c r="E21" s="10" t="n">
        <v>5</v>
      </c>
      <c r="F21" s="10" t="n">
        <v>3</v>
      </c>
      <c r="G21" s="10" t="n">
        <v>1</v>
      </c>
      <c r="H21" s="12" t="str">
        <f aca="false">IF(AND(D21&lt;=Limits!$B$5,D21&gt;=-Limits!$B$6),"OK","FAIL")</f>
        <v>OK</v>
      </c>
      <c r="I21" s="12" t="str">
        <f aca="false">IF(ABS(E21)&lt;=Limits!$B$7,"OK","FAIL")</f>
        <v>OK</v>
      </c>
      <c r="J21" s="12" t="str">
        <f aca="false">IF(F21&lt;=Limits!$B$8,"OK","FAIL")</f>
        <v>OK</v>
      </c>
      <c r="K21" s="12" t="str">
        <f aca="false">IF(G21&lt;=Limits!$B$9,"OK","FAIL")</f>
        <v>OK</v>
      </c>
      <c r="L21" s="11" t="str">
        <f aca="false">IF(COUNTIF(H21:K21,"FAIL")=0,"Compliant",COUNTIF(H21:K21,"FAIL")&amp;" parameter(s) out of limit")</f>
        <v>Compliant</v>
      </c>
    </row>
    <row r="22" customFormat="false" ht="15" hidden="false" customHeight="false" outlineLevel="0" collapsed="false">
      <c r="A22" s="8" t="n">
        <v>9</v>
      </c>
      <c r="B22" s="9" t="n">
        <v>46309</v>
      </c>
      <c r="C22" s="10" t="n">
        <v>1676</v>
      </c>
      <c r="D22" s="11" t="n">
        <f aca="false">C22-Limits!$B$4</f>
        <v>0</v>
      </c>
      <c r="E22" s="10" t="n">
        <v>6</v>
      </c>
      <c r="F22" s="10" t="n">
        <v>6</v>
      </c>
      <c r="G22" s="10" t="n">
        <v>1</v>
      </c>
      <c r="H22" s="12" t="str">
        <f aca="false">IF(AND(D22&lt;=Limits!$B$5,D22&gt;=-Limits!$B$6),"OK","FAIL")</f>
        <v>OK</v>
      </c>
      <c r="I22" s="12" t="str">
        <f aca="false">IF(ABS(E22)&lt;=Limits!$B$7,"OK","FAIL")</f>
        <v>OK</v>
      </c>
      <c r="J22" s="12" t="str">
        <f aca="false">IF(F22&lt;=Limits!$B$8,"OK","FAIL")</f>
        <v>OK</v>
      </c>
      <c r="K22" s="12" t="str">
        <f aca="false">IF(G22&lt;=Limits!$B$9,"OK","FAIL")</f>
        <v>OK</v>
      </c>
      <c r="L22" s="11" t="str">
        <f aca="false">IF(COUNTIF(H22:K22,"FAIL")=0,"Compliant",COUNTIF(H22:K22,"FAIL")&amp;" parameter(s) out of limit")</f>
        <v>Compliant</v>
      </c>
    </row>
    <row r="23" customFormat="false" ht="15" hidden="false" customHeight="false" outlineLevel="0" collapsed="false">
      <c r="A23" s="8" t="n">
        <v>9.5</v>
      </c>
      <c r="B23" s="9" t="n">
        <v>46309</v>
      </c>
      <c r="C23" s="10" t="n">
        <v>1676</v>
      </c>
      <c r="D23" s="11" t="n">
        <f aca="false">C23-Limits!$B$4</f>
        <v>0</v>
      </c>
      <c r="E23" s="10" t="n">
        <v>7</v>
      </c>
      <c r="F23" s="10" t="n">
        <v>3</v>
      </c>
      <c r="G23" s="10" t="n">
        <v>4</v>
      </c>
      <c r="H23" s="12" t="str">
        <f aca="false">IF(AND(D23&lt;=Limits!$B$5,D23&gt;=-Limits!$B$6),"OK","FAIL")</f>
        <v>OK</v>
      </c>
      <c r="I23" s="12" t="str">
        <f aca="false">IF(ABS(E23)&lt;=Limits!$B$7,"OK","FAIL")</f>
        <v>FAIL</v>
      </c>
      <c r="J23" s="12" t="str">
        <f aca="false">IF(F23&lt;=Limits!$B$8,"OK","FAIL")</f>
        <v>OK</v>
      </c>
      <c r="K23" s="12" t="str">
        <f aca="false">IF(G23&lt;=Limits!$B$9,"OK","FAIL")</f>
        <v>OK</v>
      </c>
      <c r="L23" s="11" t="str">
        <f aca="false">IF(COUNTIF(H23:K23,"FAIL")=0,"Compliant",COUNTIF(H23:K23,"FAIL")&amp;" parameter(s) out of limit")</f>
        <v>1 parameter(s) out of limit</v>
      </c>
    </row>
    <row r="24" customFormat="false" ht="15" hidden="false" customHeight="false" outlineLevel="0" collapsed="false">
      <c r="A24" s="8" t="n">
        <v>10</v>
      </c>
      <c r="B24" s="9" t="n">
        <v>46309</v>
      </c>
      <c r="C24" s="10" t="n">
        <v>1677</v>
      </c>
      <c r="D24" s="11" t="n">
        <f aca="false">C24-Limits!$B$4</f>
        <v>1</v>
      </c>
      <c r="E24" s="10" t="n">
        <v>1</v>
      </c>
      <c r="F24" s="10" t="n">
        <v>7</v>
      </c>
      <c r="G24" s="10" t="n">
        <v>2</v>
      </c>
      <c r="H24" s="12" t="str">
        <f aca="false">IF(AND(D24&lt;=Limits!$B$5,D24&gt;=-Limits!$B$6),"OK","FAIL")</f>
        <v>OK</v>
      </c>
      <c r="I24" s="12" t="str">
        <f aca="false">IF(ABS(E24)&lt;=Limits!$B$7,"OK","FAIL")</f>
        <v>OK</v>
      </c>
      <c r="J24" s="12" t="str">
        <f aca="false">IF(F24&lt;=Limits!$B$8,"OK","FAIL")</f>
        <v>OK</v>
      </c>
      <c r="K24" s="12" t="str">
        <f aca="false">IF(G24&lt;=Limits!$B$9,"OK","FAIL")</f>
        <v>OK</v>
      </c>
      <c r="L24" s="11" t="str">
        <f aca="false">IF(COUNTIF(H24:K24,"FAIL")=0,"Compliant",COUNTIF(H24:K24,"FAIL")&amp;" parameter(s) out of limit")</f>
        <v>Compliant</v>
      </c>
    </row>
    <row r="25" customFormat="false" ht="15" hidden="false" customHeight="false" outlineLevel="0" collapsed="false">
      <c r="A25" s="8" t="n">
        <v>10.5</v>
      </c>
      <c r="B25" s="9" t="n">
        <v>46309</v>
      </c>
      <c r="C25" s="10" t="n">
        <v>1678</v>
      </c>
      <c r="D25" s="11" t="n">
        <f aca="false">C25-Limits!$B$4</f>
        <v>2</v>
      </c>
      <c r="E25" s="10" t="n">
        <v>-1</v>
      </c>
      <c r="F25" s="10" t="n">
        <v>5</v>
      </c>
      <c r="G25" s="10" t="n">
        <v>6</v>
      </c>
      <c r="H25" s="12" t="str">
        <f aca="false">IF(AND(D25&lt;=Limits!$B$5,D25&gt;=-Limits!$B$6),"OK","FAIL")</f>
        <v>OK</v>
      </c>
      <c r="I25" s="12" t="str">
        <f aca="false">IF(ABS(E25)&lt;=Limits!$B$7,"OK","FAIL")</f>
        <v>OK</v>
      </c>
      <c r="J25" s="12" t="str">
        <f aca="false">IF(F25&lt;=Limits!$B$8,"OK","FAIL")</f>
        <v>OK</v>
      </c>
      <c r="K25" s="12" t="str">
        <f aca="false">IF(G25&lt;=Limits!$B$9,"OK","FAIL")</f>
        <v>FAIL</v>
      </c>
      <c r="L25" s="11" t="str">
        <f aca="false">IF(COUNTIF(H25:K25,"FAIL")=0,"Compliant",COUNTIF(H25:K25,"FAIL")&amp;" parameter(s) out of limit")</f>
        <v>1 parameter(s) out of limit</v>
      </c>
    </row>
    <row r="26" customFormat="false" ht="15" hidden="false" customHeight="false" outlineLevel="0" collapsed="false">
      <c r="A26" s="8" t="n">
        <v>11</v>
      </c>
      <c r="B26" s="9" t="n">
        <v>46309</v>
      </c>
      <c r="C26" s="10" t="n">
        <v>1677</v>
      </c>
      <c r="D26" s="11" t="n">
        <f aca="false">C26-Limits!$B$4</f>
        <v>1</v>
      </c>
      <c r="E26" s="10" t="n">
        <v>5</v>
      </c>
      <c r="F26" s="10" t="n">
        <v>3</v>
      </c>
      <c r="G26" s="10" t="n">
        <v>5</v>
      </c>
      <c r="H26" s="12" t="str">
        <f aca="false">IF(AND(D26&lt;=Limits!$B$5,D26&gt;=-Limits!$B$6),"OK","FAIL")</f>
        <v>OK</v>
      </c>
      <c r="I26" s="12" t="str">
        <f aca="false">IF(ABS(E26)&lt;=Limits!$B$7,"OK","FAIL")</f>
        <v>OK</v>
      </c>
      <c r="J26" s="12" t="str">
        <f aca="false">IF(F26&lt;=Limits!$B$8,"OK","FAIL")</f>
        <v>OK</v>
      </c>
      <c r="K26" s="12" t="str">
        <f aca="false">IF(G26&lt;=Limits!$B$9,"OK","FAIL")</f>
        <v>OK</v>
      </c>
      <c r="L26" s="11" t="str">
        <f aca="false">IF(COUNTIF(H26:K26,"FAIL")=0,"Compliant",COUNTIF(H26:K26,"FAIL")&amp;" parameter(s) out of limit")</f>
        <v>Compliant</v>
      </c>
    </row>
    <row r="27" customFormat="false" ht="15" hidden="false" customHeight="false" outlineLevel="0" collapsed="false">
      <c r="A27" s="8" t="n">
        <v>11.5</v>
      </c>
      <c r="B27" s="9" t="n">
        <v>46309</v>
      </c>
      <c r="C27" s="10" t="n">
        <v>1676</v>
      </c>
      <c r="D27" s="11" t="n">
        <f aca="false">C27-Limits!$B$4</f>
        <v>0</v>
      </c>
      <c r="E27" s="10" t="n">
        <v>2</v>
      </c>
      <c r="F27" s="10" t="n">
        <v>5</v>
      </c>
      <c r="G27" s="10" t="n">
        <v>2</v>
      </c>
      <c r="H27" s="12" t="str">
        <f aca="false">IF(AND(D27&lt;=Limits!$B$5,D27&gt;=-Limits!$B$6),"OK","FAIL")</f>
        <v>OK</v>
      </c>
      <c r="I27" s="12" t="str">
        <f aca="false">IF(ABS(E27)&lt;=Limits!$B$7,"OK","FAIL")</f>
        <v>OK</v>
      </c>
      <c r="J27" s="12" t="str">
        <f aca="false">IF(F27&lt;=Limits!$B$8,"OK","FAIL")</f>
        <v>OK</v>
      </c>
      <c r="K27" s="12" t="str">
        <f aca="false">IF(G27&lt;=Limits!$B$9,"OK","FAIL")</f>
        <v>OK</v>
      </c>
      <c r="L27" s="11" t="str">
        <f aca="false">IF(COUNTIF(H27:K27,"FAIL")=0,"Compliant",COUNTIF(H27:K27,"FAIL")&amp;" parameter(s) out of limit")</f>
        <v>Compliant</v>
      </c>
    </row>
    <row r="28" customFormat="false" ht="15" hidden="false" customHeight="false" outlineLevel="0" collapsed="false">
      <c r="A28" s="8" t="n">
        <v>12</v>
      </c>
      <c r="B28" s="9" t="n">
        <v>46309</v>
      </c>
      <c r="C28" s="10" t="n">
        <v>1680</v>
      </c>
      <c r="D28" s="11" t="n">
        <f aca="false">C28-Limits!$B$4</f>
        <v>4</v>
      </c>
      <c r="E28" s="10" t="n">
        <v>0</v>
      </c>
      <c r="F28" s="10" t="n">
        <v>6</v>
      </c>
      <c r="G28" s="10" t="n">
        <v>6</v>
      </c>
      <c r="H28" s="12" t="str">
        <f aca="false">IF(AND(D28&lt;=Limits!$B$5,D28&gt;=-Limits!$B$6),"OK","FAIL")</f>
        <v>OK</v>
      </c>
      <c r="I28" s="12" t="str">
        <f aca="false">IF(ABS(E28)&lt;=Limits!$B$7,"OK","FAIL")</f>
        <v>OK</v>
      </c>
      <c r="J28" s="12" t="str">
        <f aca="false">IF(F28&lt;=Limits!$B$8,"OK","FAIL")</f>
        <v>OK</v>
      </c>
      <c r="K28" s="12" t="str">
        <f aca="false">IF(G28&lt;=Limits!$B$9,"OK","FAIL")</f>
        <v>FAIL</v>
      </c>
      <c r="L28" s="11" t="str">
        <f aca="false">IF(COUNTIF(H28:K28,"FAIL")=0,"Compliant",COUNTIF(H28:K28,"FAIL")&amp;" parameter(s) out of limit")</f>
        <v>1 parameter(s) out of limit</v>
      </c>
    </row>
    <row r="29" customFormat="false" ht="15" hidden="false" customHeight="false" outlineLevel="0" collapsed="false">
      <c r="A29" s="8" t="n">
        <v>12.5</v>
      </c>
      <c r="B29" s="9" t="n">
        <v>46309</v>
      </c>
      <c r="C29" s="10" t="n">
        <v>1681</v>
      </c>
      <c r="D29" s="11" t="n">
        <f aca="false">C29-Limits!$B$4</f>
        <v>5</v>
      </c>
      <c r="E29" s="10" t="n">
        <v>-3</v>
      </c>
      <c r="F29" s="10" t="n">
        <v>7</v>
      </c>
      <c r="G29" s="10" t="n">
        <v>7</v>
      </c>
      <c r="H29" s="12" t="str">
        <f aca="false">IF(AND(D29&lt;=Limits!$B$5,D29&gt;=-Limits!$B$6),"OK","FAIL")</f>
        <v>OK</v>
      </c>
      <c r="I29" s="12" t="str">
        <f aca="false">IF(ABS(E29)&lt;=Limits!$B$7,"OK","FAIL")</f>
        <v>OK</v>
      </c>
      <c r="J29" s="12" t="str">
        <f aca="false">IF(F29&lt;=Limits!$B$8,"OK","FAIL")</f>
        <v>OK</v>
      </c>
      <c r="K29" s="12" t="str">
        <f aca="false">IF(G29&lt;=Limits!$B$9,"OK","FAIL")</f>
        <v>FAIL</v>
      </c>
      <c r="L29" s="11" t="str">
        <f aca="false">IF(COUNTIF(H29:K29,"FAIL")=0,"Compliant",COUNTIF(H29:K29,"FAIL")&amp;" parameter(s) out of limit")</f>
        <v>1 parameter(s) out of limit</v>
      </c>
    </row>
    <row r="30" customFormat="false" ht="15" hidden="false" customHeight="false" outlineLevel="0" collapsed="false">
      <c r="A30" s="8" t="n">
        <v>13</v>
      </c>
      <c r="B30" s="9" t="n">
        <v>46309</v>
      </c>
      <c r="C30" s="10" t="n">
        <v>1674</v>
      </c>
      <c r="D30" s="11" t="n">
        <f aca="false">C30-Limits!$B$4</f>
        <v>-2</v>
      </c>
      <c r="E30" s="10" t="n">
        <v>-3</v>
      </c>
      <c r="F30" s="10" t="n">
        <v>2</v>
      </c>
      <c r="G30" s="10" t="n">
        <v>7</v>
      </c>
      <c r="H30" s="12" t="str">
        <f aca="false">IF(AND(D30&lt;=Limits!$B$5,D30&gt;=-Limits!$B$6),"OK","FAIL")</f>
        <v>OK</v>
      </c>
      <c r="I30" s="12" t="str">
        <f aca="false">IF(ABS(E30)&lt;=Limits!$B$7,"OK","FAIL")</f>
        <v>OK</v>
      </c>
      <c r="J30" s="12" t="str">
        <f aca="false">IF(F30&lt;=Limits!$B$8,"OK","FAIL")</f>
        <v>OK</v>
      </c>
      <c r="K30" s="12" t="str">
        <f aca="false">IF(G30&lt;=Limits!$B$9,"OK","FAIL")</f>
        <v>FAIL</v>
      </c>
      <c r="L30" s="11" t="str">
        <f aca="false">IF(COUNTIF(H30:K30,"FAIL")=0,"Compliant",COUNTIF(H30:K30,"FAIL")&amp;" parameter(s) out of limit")</f>
        <v>1 parameter(s) out of limit</v>
      </c>
    </row>
    <row r="31" customFormat="false" ht="15" hidden="false" customHeight="false" outlineLevel="0" collapsed="false">
      <c r="A31" s="8" t="n">
        <v>13.5</v>
      </c>
      <c r="B31" s="9" t="n">
        <v>46309</v>
      </c>
      <c r="C31" s="10" t="n">
        <v>1678</v>
      </c>
      <c r="D31" s="11" t="n">
        <f aca="false">C31-Limits!$B$4</f>
        <v>2</v>
      </c>
      <c r="E31" s="10" t="n">
        <v>0</v>
      </c>
      <c r="F31" s="10" t="n">
        <v>6</v>
      </c>
      <c r="G31" s="10" t="n">
        <v>1</v>
      </c>
      <c r="H31" s="12" t="str">
        <f aca="false">IF(AND(D31&lt;=Limits!$B$5,D31&gt;=-Limits!$B$6),"OK","FAIL")</f>
        <v>OK</v>
      </c>
      <c r="I31" s="12" t="str">
        <f aca="false">IF(ABS(E31)&lt;=Limits!$B$7,"OK","FAIL")</f>
        <v>OK</v>
      </c>
      <c r="J31" s="12" t="str">
        <f aca="false">IF(F31&lt;=Limits!$B$8,"OK","FAIL")</f>
        <v>OK</v>
      </c>
      <c r="K31" s="12" t="str">
        <f aca="false">IF(G31&lt;=Limits!$B$9,"OK","FAIL")</f>
        <v>OK</v>
      </c>
      <c r="L31" s="11" t="str">
        <f aca="false">IF(COUNTIF(H31:K31,"FAIL")=0,"Compliant",COUNTIF(H31:K31,"FAIL")&amp;" parameter(s) out of limit")</f>
        <v>Compliant</v>
      </c>
    </row>
    <row r="32" customFormat="false" ht="15" hidden="false" customHeight="false" outlineLevel="0" collapsed="false">
      <c r="A32" s="8" t="n">
        <v>14</v>
      </c>
      <c r="B32" s="9" t="n">
        <v>46309</v>
      </c>
      <c r="C32" s="10" t="n">
        <v>1676</v>
      </c>
      <c r="D32" s="11" t="n">
        <f aca="false">C32-Limits!$B$4</f>
        <v>0</v>
      </c>
      <c r="E32" s="10" t="n">
        <v>3</v>
      </c>
      <c r="F32" s="10" t="n">
        <v>7</v>
      </c>
      <c r="G32" s="10" t="n">
        <v>2</v>
      </c>
      <c r="H32" s="12" t="str">
        <f aca="false">IF(AND(D32&lt;=Limits!$B$5,D32&gt;=-Limits!$B$6),"OK","FAIL")</f>
        <v>OK</v>
      </c>
      <c r="I32" s="12" t="str">
        <f aca="false">IF(ABS(E32)&lt;=Limits!$B$7,"OK","FAIL")</f>
        <v>OK</v>
      </c>
      <c r="J32" s="12" t="str">
        <f aca="false">IF(F32&lt;=Limits!$B$8,"OK","FAIL")</f>
        <v>OK</v>
      </c>
      <c r="K32" s="12" t="str">
        <f aca="false">IF(G32&lt;=Limits!$B$9,"OK","FAIL")</f>
        <v>OK</v>
      </c>
      <c r="L32" s="11" t="str">
        <f aca="false">IF(COUNTIF(H32:K32,"FAIL")=0,"Compliant",COUNTIF(H32:K32,"FAIL")&amp;" parameter(s) out of limit")</f>
        <v>Compliant</v>
      </c>
    </row>
    <row r="33" customFormat="false" ht="15" hidden="false" customHeight="false" outlineLevel="0" collapsed="false">
      <c r="A33" s="8" t="n">
        <v>14.5</v>
      </c>
      <c r="B33" s="9" t="n">
        <v>46309</v>
      </c>
      <c r="C33" s="10" t="n">
        <v>1680</v>
      </c>
      <c r="D33" s="11" t="n">
        <f aca="false">C33-Limits!$B$4</f>
        <v>4</v>
      </c>
      <c r="E33" s="10" t="n">
        <v>0</v>
      </c>
      <c r="F33" s="10" t="n">
        <v>9</v>
      </c>
      <c r="G33" s="10" t="n">
        <v>2</v>
      </c>
      <c r="H33" s="12" t="str">
        <f aca="false">IF(AND(D33&lt;=Limits!$B$5,D33&gt;=-Limits!$B$6),"OK","FAIL")</f>
        <v>OK</v>
      </c>
      <c r="I33" s="12" t="str">
        <f aca="false">IF(ABS(E33)&lt;=Limits!$B$7,"OK","FAIL")</f>
        <v>OK</v>
      </c>
      <c r="J33" s="12" t="str">
        <f aca="false">IF(F33&lt;=Limits!$B$8,"OK","FAIL")</f>
        <v>FAIL</v>
      </c>
      <c r="K33" s="12" t="str">
        <f aca="false">IF(G33&lt;=Limits!$B$9,"OK","FAIL")</f>
        <v>OK</v>
      </c>
      <c r="L33" s="11" t="str">
        <f aca="false">IF(COUNTIF(H33:K33,"FAIL")=0,"Compliant",COUNTIF(H33:K33,"FAIL")&amp;" parameter(s) out of limit")</f>
        <v>1 parameter(s) out of limit</v>
      </c>
    </row>
    <row r="34" customFormat="false" ht="15" hidden="false" customHeight="false" outlineLevel="0" collapsed="false">
      <c r="A34" s="8" t="n">
        <v>15</v>
      </c>
      <c r="B34" s="9" t="n">
        <v>46309</v>
      </c>
      <c r="C34" s="10" t="n">
        <v>1677</v>
      </c>
      <c r="D34" s="11" t="n">
        <f aca="false">C34-Limits!$B$4</f>
        <v>1</v>
      </c>
      <c r="E34" s="10" t="n">
        <v>-4</v>
      </c>
      <c r="F34" s="10" t="n">
        <v>5</v>
      </c>
      <c r="G34" s="10" t="n">
        <v>6</v>
      </c>
      <c r="H34" s="12" t="str">
        <f aca="false">IF(AND(D34&lt;=Limits!$B$5,D34&gt;=-Limits!$B$6),"OK","FAIL")</f>
        <v>OK</v>
      </c>
      <c r="I34" s="12" t="str">
        <f aca="false">IF(ABS(E34)&lt;=Limits!$B$7,"OK","FAIL")</f>
        <v>OK</v>
      </c>
      <c r="J34" s="12" t="str">
        <f aca="false">IF(F34&lt;=Limits!$B$8,"OK","FAIL")</f>
        <v>OK</v>
      </c>
      <c r="K34" s="12" t="str">
        <f aca="false">IF(G34&lt;=Limits!$B$9,"OK","FAIL")</f>
        <v>FAIL</v>
      </c>
      <c r="L34" s="11" t="str">
        <f aca="false">IF(COUNTIF(H34:K34,"FAIL")=0,"Compliant",COUNTIF(H34:K34,"FAIL")&amp;" parameter(s) out of limit")</f>
        <v>1 parameter(s) out of limit</v>
      </c>
    </row>
    <row r="35" customFormat="false" ht="15" hidden="false" customHeight="false" outlineLevel="0" collapsed="false">
      <c r="A35" s="8" t="n">
        <v>15.5</v>
      </c>
      <c r="B35" s="9" t="n">
        <v>46309</v>
      </c>
      <c r="C35" s="10" t="n">
        <v>1681</v>
      </c>
      <c r="D35" s="11" t="n">
        <f aca="false">C35-Limits!$B$4</f>
        <v>5</v>
      </c>
      <c r="E35" s="10" t="n">
        <v>2</v>
      </c>
      <c r="F35" s="10" t="n">
        <v>6</v>
      </c>
      <c r="G35" s="10" t="n">
        <v>6</v>
      </c>
      <c r="H35" s="12" t="str">
        <f aca="false">IF(AND(D35&lt;=Limits!$B$5,D35&gt;=-Limits!$B$6),"OK","FAIL")</f>
        <v>OK</v>
      </c>
      <c r="I35" s="12" t="str">
        <f aca="false">IF(ABS(E35)&lt;=Limits!$B$7,"OK","FAIL")</f>
        <v>OK</v>
      </c>
      <c r="J35" s="12" t="str">
        <f aca="false">IF(F35&lt;=Limits!$B$8,"OK","FAIL")</f>
        <v>OK</v>
      </c>
      <c r="K35" s="12" t="str">
        <f aca="false">IF(G35&lt;=Limits!$B$9,"OK","FAIL")</f>
        <v>FAIL</v>
      </c>
      <c r="L35" s="11" t="str">
        <f aca="false">IF(COUNTIF(H35:K35,"FAIL")=0,"Compliant",COUNTIF(H35:K35,"FAIL")&amp;" parameter(s) out of limit")</f>
        <v>1 parameter(s) out of limit</v>
      </c>
    </row>
    <row r="36" customFormat="false" ht="15" hidden="false" customHeight="false" outlineLevel="0" collapsed="false">
      <c r="A36" s="8" t="n">
        <v>16</v>
      </c>
      <c r="B36" s="9" t="n">
        <v>46309</v>
      </c>
      <c r="C36" s="10" t="n">
        <v>1683</v>
      </c>
      <c r="D36" s="11" t="n">
        <f aca="false">C36-Limits!$B$4</f>
        <v>7</v>
      </c>
      <c r="E36" s="10" t="n">
        <v>0</v>
      </c>
      <c r="F36" s="10" t="n">
        <v>8</v>
      </c>
      <c r="G36" s="10" t="n">
        <v>3</v>
      </c>
      <c r="H36" s="12" t="str">
        <f aca="false">IF(AND(D36&lt;=Limits!$B$5,D36&gt;=-Limits!$B$6),"OK","FAIL")</f>
        <v>FAIL</v>
      </c>
      <c r="I36" s="12" t="str">
        <f aca="false">IF(ABS(E36)&lt;=Limits!$B$7,"OK","FAIL")</f>
        <v>OK</v>
      </c>
      <c r="J36" s="12" t="str">
        <f aca="false">IF(F36&lt;=Limits!$B$8,"OK","FAIL")</f>
        <v>OK</v>
      </c>
      <c r="K36" s="12" t="str">
        <f aca="false">IF(G36&lt;=Limits!$B$9,"OK","FAIL")</f>
        <v>OK</v>
      </c>
      <c r="L36" s="11" t="str">
        <f aca="false">IF(COUNTIF(H36:K36,"FAIL")=0,"Compliant",COUNTIF(H36:K36,"FAIL")&amp;" parameter(s) out of limit")</f>
        <v>1 parameter(s) out of limit</v>
      </c>
    </row>
    <row r="37" customFormat="false" ht="15" hidden="false" customHeight="false" outlineLevel="0" collapsed="false">
      <c r="A37" s="8" t="n">
        <v>16.5</v>
      </c>
      <c r="B37" s="9" t="n">
        <v>46309</v>
      </c>
      <c r="C37" s="10" t="n">
        <v>1676</v>
      </c>
      <c r="D37" s="11" t="n">
        <f aca="false">C37-Limits!$B$4</f>
        <v>0</v>
      </c>
      <c r="E37" s="10" t="n">
        <v>-4</v>
      </c>
      <c r="F37" s="10" t="n">
        <v>10</v>
      </c>
      <c r="G37" s="10" t="n">
        <v>4</v>
      </c>
      <c r="H37" s="12" t="str">
        <f aca="false">IF(AND(D37&lt;=Limits!$B$5,D37&gt;=-Limits!$B$6),"OK","FAIL")</f>
        <v>OK</v>
      </c>
      <c r="I37" s="12" t="str">
        <f aca="false">IF(ABS(E37)&lt;=Limits!$B$7,"OK","FAIL")</f>
        <v>OK</v>
      </c>
      <c r="J37" s="12" t="str">
        <f aca="false">IF(F37&lt;=Limits!$B$8,"OK","FAIL")</f>
        <v>FAIL</v>
      </c>
      <c r="K37" s="12" t="str">
        <f aca="false">IF(G37&lt;=Limits!$B$9,"OK","FAIL")</f>
        <v>OK</v>
      </c>
      <c r="L37" s="11" t="str">
        <f aca="false">IF(COUNTIF(H37:K37,"FAIL")=0,"Compliant",COUNTIF(H37:K37,"FAIL")&amp;" parameter(s) out of limit")</f>
        <v>1 parameter(s) out of limit</v>
      </c>
    </row>
    <row r="38" customFormat="false" ht="15" hidden="false" customHeight="false" outlineLevel="0" collapsed="false">
      <c r="A38" s="8" t="n">
        <v>17</v>
      </c>
      <c r="B38" s="9" t="n">
        <v>46309</v>
      </c>
      <c r="C38" s="10" t="n">
        <v>1675</v>
      </c>
      <c r="D38" s="11" t="n">
        <f aca="false">C38-Limits!$B$4</f>
        <v>-1</v>
      </c>
      <c r="E38" s="10" t="n">
        <v>6</v>
      </c>
      <c r="F38" s="10" t="n">
        <v>2</v>
      </c>
      <c r="G38" s="10" t="n">
        <v>7</v>
      </c>
      <c r="H38" s="12" t="str">
        <f aca="false">IF(AND(D38&lt;=Limits!$B$5,D38&gt;=-Limits!$B$6),"OK","FAIL")</f>
        <v>OK</v>
      </c>
      <c r="I38" s="12" t="str">
        <f aca="false">IF(ABS(E38)&lt;=Limits!$B$7,"OK","FAIL")</f>
        <v>OK</v>
      </c>
      <c r="J38" s="12" t="str">
        <f aca="false">IF(F38&lt;=Limits!$B$8,"OK","FAIL")</f>
        <v>OK</v>
      </c>
      <c r="K38" s="12" t="str">
        <f aca="false">IF(G38&lt;=Limits!$B$9,"OK","FAIL")</f>
        <v>FAIL</v>
      </c>
      <c r="L38" s="11" t="str">
        <f aca="false">IF(COUNTIF(H38:K38,"FAIL")=0,"Compliant",COUNTIF(H38:K38,"FAIL")&amp;" parameter(s) out of limit")</f>
        <v>1 parameter(s) out of limit</v>
      </c>
    </row>
    <row r="39" customFormat="false" ht="15" hidden="false" customHeight="false" outlineLevel="0" collapsed="false">
      <c r="A39" s="8" t="n">
        <v>17.5</v>
      </c>
      <c r="B39" s="9" t="n">
        <v>46309</v>
      </c>
      <c r="C39" s="10" t="n">
        <v>1675</v>
      </c>
      <c r="D39" s="11" t="n">
        <f aca="false">C39-Limits!$B$4</f>
        <v>-1</v>
      </c>
      <c r="E39" s="10" t="n">
        <v>-4</v>
      </c>
      <c r="F39" s="10" t="n">
        <v>4</v>
      </c>
      <c r="G39" s="10" t="n">
        <v>7</v>
      </c>
      <c r="H39" s="12" t="str">
        <f aca="false">IF(AND(D39&lt;=Limits!$B$5,D39&gt;=-Limits!$B$6),"OK","FAIL")</f>
        <v>OK</v>
      </c>
      <c r="I39" s="12" t="str">
        <f aca="false">IF(ABS(E39)&lt;=Limits!$B$7,"OK","FAIL")</f>
        <v>OK</v>
      </c>
      <c r="J39" s="12" t="str">
        <f aca="false">IF(F39&lt;=Limits!$B$8,"OK","FAIL")</f>
        <v>OK</v>
      </c>
      <c r="K39" s="12" t="str">
        <f aca="false">IF(G39&lt;=Limits!$B$9,"OK","FAIL")</f>
        <v>FAIL</v>
      </c>
      <c r="L39" s="11" t="str">
        <f aca="false">IF(COUNTIF(H39:K39,"FAIL")=0,"Compliant",COUNTIF(H39:K39,"FAIL")&amp;" parameter(s) out of limit")</f>
        <v>1 parameter(s) out of limit</v>
      </c>
    </row>
    <row r="40" customFormat="false" ht="15" hidden="false" customHeight="false" outlineLevel="0" collapsed="false">
      <c r="A40" s="8" t="n">
        <v>18</v>
      </c>
      <c r="B40" s="9" t="n">
        <v>46309</v>
      </c>
      <c r="C40" s="10" t="n">
        <v>1679</v>
      </c>
      <c r="D40" s="11" t="n">
        <f aca="false">C40-Limits!$B$4</f>
        <v>3</v>
      </c>
      <c r="E40" s="10" t="n">
        <v>3</v>
      </c>
      <c r="F40" s="10" t="n">
        <v>3</v>
      </c>
      <c r="G40" s="10" t="n">
        <v>4</v>
      </c>
      <c r="H40" s="12" t="str">
        <f aca="false">IF(AND(D40&lt;=Limits!$B$5,D40&gt;=-Limits!$B$6),"OK","FAIL")</f>
        <v>OK</v>
      </c>
      <c r="I40" s="12" t="str">
        <f aca="false">IF(ABS(E40)&lt;=Limits!$B$7,"OK","FAIL")</f>
        <v>OK</v>
      </c>
      <c r="J40" s="12" t="str">
        <f aca="false">IF(F40&lt;=Limits!$B$8,"OK","FAIL")</f>
        <v>OK</v>
      </c>
      <c r="K40" s="12" t="str">
        <f aca="false">IF(G40&lt;=Limits!$B$9,"OK","FAIL")</f>
        <v>OK</v>
      </c>
      <c r="L40" s="11" t="str">
        <f aca="false">IF(COUNTIF(H40:K40,"FAIL")=0,"Compliant",COUNTIF(H40:K40,"FAIL")&amp;" parameter(s) out of limit")</f>
        <v>Compliant</v>
      </c>
    </row>
    <row r="41" customFormat="false" ht="15" hidden="false" customHeight="false" outlineLevel="0" collapsed="false">
      <c r="A41" s="8" t="n">
        <v>18.5</v>
      </c>
      <c r="B41" s="9" t="n">
        <v>46309</v>
      </c>
      <c r="C41" s="10" t="n">
        <v>1679</v>
      </c>
      <c r="D41" s="11" t="n">
        <f aca="false">C41-Limits!$B$4</f>
        <v>3</v>
      </c>
      <c r="E41" s="10" t="n">
        <v>3</v>
      </c>
      <c r="F41" s="10" t="n">
        <v>9</v>
      </c>
      <c r="G41" s="10" t="n">
        <v>5</v>
      </c>
      <c r="H41" s="12" t="str">
        <f aca="false">IF(AND(D41&lt;=Limits!$B$5,D41&gt;=-Limits!$B$6),"OK","FAIL")</f>
        <v>OK</v>
      </c>
      <c r="I41" s="12" t="str">
        <f aca="false">IF(ABS(E41)&lt;=Limits!$B$7,"OK","FAIL")</f>
        <v>OK</v>
      </c>
      <c r="J41" s="12" t="str">
        <f aca="false">IF(F41&lt;=Limits!$B$8,"OK","FAIL")</f>
        <v>FAIL</v>
      </c>
      <c r="K41" s="12" t="str">
        <f aca="false">IF(G41&lt;=Limits!$B$9,"OK","FAIL")</f>
        <v>OK</v>
      </c>
      <c r="L41" s="11" t="str">
        <f aca="false">IF(COUNTIF(H41:K41,"FAIL")=0,"Compliant",COUNTIF(H41:K41,"FAIL")&amp;" parameter(s) out of limit")</f>
        <v>1 parameter(s) out of limit</v>
      </c>
    </row>
    <row r="42" customFormat="false" ht="15" hidden="false" customHeight="false" outlineLevel="0" collapsed="false">
      <c r="A42" s="8" t="n">
        <v>19</v>
      </c>
      <c r="B42" s="9" t="n">
        <v>46309</v>
      </c>
      <c r="C42" s="10" t="n">
        <v>1677</v>
      </c>
      <c r="D42" s="11" t="n">
        <f aca="false">C42-Limits!$B$4</f>
        <v>1</v>
      </c>
      <c r="E42" s="10" t="n">
        <v>2</v>
      </c>
      <c r="F42" s="10" t="n">
        <v>2</v>
      </c>
      <c r="G42" s="10" t="n">
        <v>6</v>
      </c>
      <c r="H42" s="12" t="str">
        <f aca="false">IF(AND(D42&lt;=Limits!$B$5,D42&gt;=-Limits!$B$6),"OK","FAIL")</f>
        <v>OK</v>
      </c>
      <c r="I42" s="12" t="str">
        <f aca="false">IF(ABS(E42)&lt;=Limits!$B$7,"OK","FAIL")</f>
        <v>OK</v>
      </c>
      <c r="J42" s="12" t="str">
        <f aca="false">IF(F42&lt;=Limits!$B$8,"OK","FAIL")</f>
        <v>OK</v>
      </c>
      <c r="K42" s="12" t="str">
        <f aca="false">IF(G42&lt;=Limits!$B$9,"OK","FAIL")</f>
        <v>FAIL</v>
      </c>
      <c r="L42" s="11" t="str">
        <f aca="false">IF(COUNTIF(H42:K42,"FAIL")=0,"Compliant",COUNTIF(H42:K42,"FAIL")&amp;" parameter(s) out of limit")</f>
        <v>1 parameter(s) out of limit</v>
      </c>
    </row>
    <row r="43" customFormat="false" ht="15" hidden="false" customHeight="false" outlineLevel="0" collapsed="false">
      <c r="A43" s="8" t="n">
        <v>19.5</v>
      </c>
      <c r="B43" s="9" t="n">
        <v>46309</v>
      </c>
      <c r="C43" s="10" t="n">
        <v>1675</v>
      </c>
      <c r="D43" s="11" t="n">
        <f aca="false">C43-Limits!$B$4</f>
        <v>-1</v>
      </c>
      <c r="E43" s="10" t="n">
        <v>4</v>
      </c>
      <c r="F43" s="10" t="n">
        <v>10</v>
      </c>
      <c r="G43" s="10" t="n">
        <v>7</v>
      </c>
      <c r="H43" s="12" t="str">
        <f aca="false">IF(AND(D43&lt;=Limits!$B$5,D43&gt;=-Limits!$B$6),"OK","FAIL")</f>
        <v>OK</v>
      </c>
      <c r="I43" s="12" t="str">
        <f aca="false">IF(ABS(E43)&lt;=Limits!$B$7,"OK","FAIL")</f>
        <v>OK</v>
      </c>
      <c r="J43" s="12" t="str">
        <f aca="false">IF(F43&lt;=Limits!$B$8,"OK","FAIL")</f>
        <v>FAIL</v>
      </c>
      <c r="K43" s="12" t="str">
        <f aca="false">IF(G43&lt;=Limits!$B$9,"OK","FAIL")</f>
        <v>FAIL</v>
      </c>
      <c r="L43" s="11" t="str">
        <f aca="false">IF(COUNTIF(H43:K43,"FAIL")=0,"Compliant",COUNTIF(H43:K43,"FAIL")&amp;" parameter(s) out of limit")</f>
        <v>2 parameter(s) out of limit</v>
      </c>
    </row>
    <row r="44" customFormat="false" ht="15" hidden="false" customHeight="false" outlineLevel="0" collapsed="false">
      <c r="A44" s="8" t="n">
        <v>20</v>
      </c>
      <c r="B44" s="9" t="n">
        <v>46309</v>
      </c>
      <c r="C44" s="10" t="n">
        <v>1677</v>
      </c>
      <c r="D44" s="11" t="n">
        <f aca="false">C44-Limits!$B$4</f>
        <v>1</v>
      </c>
      <c r="E44" s="10" t="n">
        <v>6</v>
      </c>
      <c r="F44" s="10" t="n">
        <v>7</v>
      </c>
      <c r="G44" s="10" t="n">
        <v>1</v>
      </c>
      <c r="H44" s="12" t="str">
        <f aca="false">IF(AND(D44&lt;=Limits!$B$5,D44&gt;=-Limits!$B$6),"OK","FAIL")</f>
        <v>OK</v>
      </c>
      <c r="I44" s="12" t="str">
        <f aca="false">IF(ABS(E44)&lt;=Limits!$B$7,"OK","FAIL")</f>
        <v>OK</v>
      </c>
      <c r="J44" s="12" t="str">
        <f aca="false">IF(F44&lt;=Limits!$B$8,"OK","FAIL")</f>
        <v>OK</v>
      </c>
      <c r="K44" s="12" t="str">
        <f aca="false">IF(G44&lt;=Limits!$B$9,"OK","FAIL")</f>
        <v>OK</v>
      </c>
      <c r="L44" s="11" t="str">
        <f aca="false">IF(COUNTIF(H44:K44,"FAIL")=0,"Compliant",COUNTIF(H44:K44,"FAIL")&amp;" parameter(s) out of limit")</f>
        <v>Compliant</v>
      </c>
    </row>
    <row r="45" customFormat="false" ht="15" hidden="false" customHeight="false" outlineLevel="0" collapsed="false">
      <c r="A45" s="8" t="n">
        <v>20.5</v>
      </c>
      <c r="B45" s="9" t="n">
        <v>46309</v>
      </c>
      <c r="C45" s="10" t="n">
        <v>1677</v>
      </c>
      <c r="D45" s="11" t="n">
        <f aca="false">C45-Limits!$B$4</f>
        <v>1</v>
      </c>
      <c r="E45" s="10" t="n">
        <v>0</v>
      </c>
      <c r="F45" s="10" t="n">
        <v>4</v>
      </c>
      <c r="G45" s="10" t="n">
        <v>4</v>
      </c>
      <c r="H45" s="12" t="str">
        <f aca="false">IF(AND(D45&lt;=Limits!$B$5,D45&gt;=-Limits!$B$6),"OK","FAIL")</f>
        <v>OK</v>
      </c>
      <c r="I45" s="12" t="str">
        <f aca="false">IF(ABS(E45)&lt;=Limits!$B$7,"OK","FAIL")</f>
        <v>OK</v>
      </c>
      <c r="J45" s="12" t="str">
        <f aca="false">IF(F45&lt;=Limits!$B$8,"OK","FAIL")</f>
        <v>OK</v>
      </c>
      <c r="K45" s="12" t="str">
        <f aca="false">IF(G45&lt;=Limits!$B$9,"OK","FAIL")</f>
        <v>OK</v>
      </c>
      <c r="L45" s="11" t="str">
        <f aca="false">IF(COUNTIF(H45:K45,"FAIL")=0,"Compliant",COUNTIF(H45:K45,"FAIL")&amp;" parameter(s) out of limit")</f>
        <v>Compliant</v>
      </c>
    </row>
  </sheetData>
  <conditionalFormatting sqref="H6:K45">
    <cfRule type="cellIs" priority="2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4" t="s">
        <v>21</v>
      </c>
      <c r="B4" s="13" t="n">
        <v>1676</v>
      </c>
      <c r="C4" s="4" t="s">
        <v>22</v>
      </c>
    </row>
    <row r="5" customFormat="false" ht="15" hidden="false" customHeight="false" outlineLevel="0" collapsed="false">
      <c r="A5" s="4" t="s">
        <v>23</v>
      </c>
      <c r="B5" s="13" t="n">
        <v>6</v>
      </c>
      <c r="C5" s="4" t="s">
        <v>22</v>
      </c>
    </row>
    <row r="6" customFormat="false" ht="15" hidden="false" customHeight="false" outlineLevel="0" collapsed="false">
      <c r="A6" s="4" t="s">
        <v>24</v>
      </c>
      <c r="B6" s="13" t="n">
        <v>3</v>
      </c>
      <c r="C6" s="4" t="s">
        <v>22</v>
      </c>
    </row>
    <row r="7" customFormat="false" ht="15" hidden="false" customHeight="false" outlineLevel="0" collapsed="false">
      <c r="A7" s="4" t="s">
        <v>25</v>
      </c>
      <c r="B7" s="13" t="n">
        <v>6</v>
      </c>
      <c r="C7" s="4" t="s">
        <v>22</v>
      </c>
    </row>
    <row r="8" customFormat="false" ht="15" hidden="false" customHeight="false" outlineLevel="0" collapsed="false">
      <c r="A8" s="4" t="s">
        <v>26</v>
      </c>
      <c r="B8" s="13" t="n">
        <v>8</v>
      </c>
      <c r="C8" s="4" t="s">
        <v>27</v>
      </c>
    </row>
    <row r="9" customFormat="false" ht="15" hidden="false" customHeight="false" outlineLevel="0" collapsed="false">
      <c r="A9" s="4" t="s">
        <v>28</v>
      </c>
      <c r="B9" s="13" t="n">
        <v>5</v>
      </c>
      <c r="C9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2026-10-31T02:46:29Z</dcterms:created>
  <dc:creator>openpyxl</dc:creator>
  <dc:description/>
  <dc:language>en-US</dc:language>
  <cp:lastModifiedBy/>
  <dcterms:modified xsi:type="dcterms:W3CDTF">2026-10-31T02:46:29Z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