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gnal Asset Register" sheetId="1" state="visible" r:id="rId3"/>
    <sheet name="Train Timetab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<sst xmlns="http://schemas.openxmlformats.org/spreadsheetml/2006/main" count="203" uniqueCount="100">
  <si>
    <t xml:space="preserve">Signalling Asset Register - Sample Junction</t>
  </si>
  <si>
    <t xml:space="preserve">Synthetic sample data</t>
  </si>
  <si>
    <t xml:space="preserve">Reference date: 31-Oct-2026 (hard-coded in Age formula)</t>
  </si>
  <si>
    <t xml:space="preserve">Asset ID</t>
  </si>
  <si>
    <t xml:space="preserve">Asset Type</t>
  </si>
  <si>
    <t xml:space="preserve">Location (Km)</t>
  </si>
  <si>
    <t xml:space="preserve">Make/Type</t>
  </si>
  <si>
    <t xml:space="preserve">Install Date</t>
  </si>
  <si>
    <t xml:space="preserve">Design Life (yrs)</t>
  </si>
  <si>
    <t xml:space="preserve">Age (yrs)</t>
  </si>
  <si>
    <t xml:space="preserve">Remaining Life (yrs)</t>
  </si>
  <si>
    <t xml:space="preserve">Last Maintenance</t>
  </si>
  <si>
    <t xml:space="preserve">Condition</t>
  </si>
  <si>
    <t xml:space="preserve">Replacement Due?</t>
  </si>
  <si>
    <t xml:space="preserve">COL-001</t>
  </si>
  <si>
    <t xml:space="preserve">Colour Light Signal</t>
  </si>
  <si>
    <t xml:space="preserve">LED 3-aspect</t>
  </si>
  <si>
    <t xml:space="preserve">Fair</t>
  </si>
  <si>
    <t xml:space="preserve">POI-002</t>
  </si>
  <si>
    <t xml:space="preserve">Point Machine</t>
  </si>
  <si>
    <t xml:space="preserve">Electric 3-phase</t>
  </si>
  <si>
    <t xml:space="preserve">TRA-003</t>
  </si>
  <si>
    <t xml:space="preserve">Track Circuit</t>
  </si>
  <si>
    <t xml:space="preserve">Audio frequency</t>
  </si>
  <si>
    <t xml:space="preserve">Poor</t>
  </si>
  <si>
    <t xml:space="preserve">AXL-004</t>
  </si>
  <si>
    <t xml:space="preserve">Axle Counter</t>
  </si>
  <si>
    <t xml:space="preserve">Digital single section</t>
  </si>
  <si>
    <t xml:space="preserve">REL-005</t>
  </si>
  <si>
    <t xml:space="preserve">Relay</t>
  </si>
  <si>
    <t xml:space="preserve">Q-series</t>
  </si>
  <si>
    <t xml:space="preserve">SIG-006</t>
  </si>
  <si>
    <t xml:space="preserve">Signal Cable</t>
  </si>
  <si>
    <t xml:space="preserve">Quad armoured</t>
  </si>
  <si>
    <t xml:space="preserve">Good</t>
  </si>
  <si>
    <t xml:space="preserve">COL-007</t>
  </si>
  <si>
    <t xml:space="preserve">POI-008</t>
  </si>
  <si>
    <t xml:space="preserve">TRA-009</t>
  </si>
  <si>
    <t xml:space="preserve">AXL-010</t>
  </si>
  <si>
    <t xml:space="preserve">REL-011</t>
  </si>
  <si>
    <t xml:space="preserve">SIG-012</t>
  </si>
  <si>
    <t xml:space="preserve">COL-013</t>
  </si>
  <si>
    <t xml:space="preserve">POI-014</t>
  </si>
  <si>
    <t xml:space="preserve">TRA-015</t>
  </si>
  <si>
    <t xml:space="preserve">AXL-016</t>
  </si>
  <si>
    <t xml:space="preserve">REL-017</t>
  </si>
  <si>
    <t xml:space="preserve">SIG-018</t>
  </si>
  <si>
    <t xml:space="preserve">COL-019</t>
  </si>
  <si>
    <t xml:space="preserve">POI-020</t>
  </si>
  <si>
    <t xml:space="preserve">TRA-021</t>
  </si>
  <si>
    <t xml:space="preserve">AXL-022</t>
  </si>
  <si>
    <t xml:space="preserve">REL-023</t>
  </si>
  <si>
    <t xml:space="preserve">SIG-024</t>
  </si>
  <si>
    <t xml:space="preserve">COL-025</t>
  </si>
  <si>
    <t xml:space="preserve">POI-026</t>
  </si>
  <si>
    <t xml:space="preserve">TRA-027</t>
  </si>
  <si>
    <t xml:space="preserve">AXL-028</t>
  </si>
  <si>
    <t xml:space="preserve">REL-029</t>
  </si>
  <si>
    <t xml:space="preserve">SIG-030</t>
  </si>
  <si>
    <t xml:space="preserve">COL-031</t>
  </si>
  <si>
    <t xml:space="preserve">POI-032</t>
  </si>
  <si>
    <t xml:space="preserve">TRA-033</t>
  </si>
  <si>
    <t xml:space="preserve">AXL-034</t>
  </si>
  <si>
    <t xml:space="preserve">REL-035</t>
  </si>
  <si>
    <t xml:space="preserve">SIG-036</t>
  </si>
  <si>
    <t xml:space="preserve">Station Timetable Extract - Sample Junction</t>
  </si>
  <si>
    <t xml:space="preserve">Synthetic sample data | Dwell and delay computed by formula</t>
  </si>
  <si>
    <t xml:space="preserve">Train No.</t>
  </si>
  <si>
    <t xml:space="preserve">Type</t>
  </si>
  <si>
    <t xml:space="preserve">Origin</t>
  </si>
  <si>
    <t xml:space="preserve">Destination</t>
  </si>
  <si>
    <t xml:space="preserve">Platform</t>
  </si>
  <si>
    <t xml:space="preserve">Arrival</t>
  </si>
  <si>
    <t xml:space="preserve">Departure</t>
  </si>
  <si>
    <t xml:space="preserve">Dwell (min)</t>
  </si>
  <si>
    <t xml:space="preserve">Delay (min)</t>
  </si>
  <si>
    <t xml:space="preserve">Status</t>
  </si>
  <si>
    <t xml:space="preserve">12601</t>
  </si>
  <si>
    <t xml:space="preserve">Express</t>
  </si>
  <si>
    <t xml:space="preserve">SBC</t>
  </si>
  <si>
    <t xml:space="preserve">MAS</t>
  </si>
  <si>
    <t xml:space="preserve">12627</t>
  </si>
  <si>
    <t xml:space="preserve">Superfast</t>
  </si>
  <si>
    <t xml:space="preserve">NDLS</t>
  </si>
  <si>
    <t xml:space="preserve">16525</t>
  </si>
  <si>
    <t xml:space="preserve">CAPE</t>
  </si>
  <si>
    <t xml:space="preserve">06521</t>
  </si>
  <si>
    <t xml:space="preserve">Special</t>
  </si>
  <si>
    <t xml:space="preserve">JTJ</t>
  </si>
  <si>
    <t xml:space="preserve">22692</t>
  </si>
  <si>
    <t xml:space="preserve">Rajdhani</t>
  </si>
  <si>
    <t xml:space="preserve">NZM</t>
  </si>
  <si>
    <t xml:space="preserve">16231</t>
  </si>
  <si>
    <t xml:space="preserve">MYS</t>
  </si>
  <si>
    <t xml:space="preserve">12007</t>
  </si>
  <si>
    <t xml:space="preserve">Shatabdi</t>
  </si>
  <si>
    <t xml:space="preserve">56512</t>
  </si>
  <si>
    <t xml:space="preserve">Passenger</t>
  </si>
  <si>
    <t xml:space="preserve">BWT</t>
  </si>
  <si>
    <t xml:space="preserve">Average delay (min):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</si>
</sst>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dd\-mmm\-yyyy"/>
    <numFmt numFmtId="167" formatCode="hh:mm"/>
    <numFmt numFmtId="168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9" min="8" style="0" width="18"/>
    <col collapsed="false" customWidth="true" hidden="false" outlineLevel="0" max="10" min="10" style="0" width="12"/>
    <col collapsed="false" customWidth="true" hidden="false" outlineLevel="0" max="11" min="11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</row>
    <row r="5" customFormat="false" ht="15" hidden="false" customHeight="false" outlineLevel="0" collapsed="false">
      <c r="A5" s="5" t="s">
        <v>14</v>
      </c>
      <c r="B5" s="5" t="s">
        <v>15</v>
      </c>
      <c r="C5" s="6" t="n">
        <v>0.99</v>
      </c>
      <c r="D5" s="5" t="s">
        <v>16</v>
      </c>
      <c r="E5" s="7" t="n">
        <v>36173</v>
      </c>
      <c r="F5" s="5" t="n">
        <v>15</v>
      </c>
      <c r="G5" s="5" t="n">
        <f aca="false">ROUND((DATE(2026,10,31)-E5)/365.25,1)</f>
        <v>27.8</v>
      </c>
      <c r="H5" s="5" t="n">
        <f aca="false">F5-G5</f>
        <v>-12.8</v>
      </c>
      <c r="I5" s="7" t="n">
        <v>46229</v>
      </c>
      <c r="J5" s="5" t="s">
        <v>17</v>
      </c>
      <c r="K5" s="5" t="str">
        <f aca="false">IF(OR(H5&lt;=2,J5="Poor"),"YES","NO")</f>
        <v>YES</v>
      </c>
    </row>
    <row r="6" customFormat="false" ht="15" hidden="false" customHeight="false" outlineLevel="0" collapsed="false">
      <c r="A6" s="5" t="s">
        <v>18</v>
      </c>
      <c r="B6" s="5" t="s">
        <v>19</v>
      </c>
      <c r="C6" s="6" t="n">
        <v>2.54</v>
      </c>
      <c r="D6" s="5" t="s">
        <v>20</v>
      </c>
      <c r="E6" s="7" t="n">
        <v>39442</v>
      </c>
      <c r="F6" s="5" t="n">
        <v>20</v>
      </c>
      <c r="G6" s="5" t="n">
        <f aca="false">ROUND((DATE(2026,10,31)-E6)/365.25,1)</f>
        <v>18.8</v>
      </c>
      <c r="H6" s="5" t="n">
        <f aca="false">F6-G6</f>
        <v>1.2</v>
      </c>
      <c r="I6" s="7" t="n">
        <v>46287</v>
      </c>
      <c r="J6" s="5" t="s">
        <v>17</v>
      </c>
      <c r="K6" s="5" t="str">
        <f aca="false">IF(OR(H6&lt;=2,J6="Poor"),"YES","NO")</f>
        <v>YES</v>
      </c>
    </row>
    <row r="7" customFormat="false" ht="15" hidden="false" customHeight="false" outlineLevel="0" collapsed="false">
      <c r="A7" s="5" t="s">
        <v>21</v>
      </c>
      <c r="B7" s="5" t="s">
        <v>22</v>
      </c>
      <c r="C7" s="6" t="n">
        <v>1.14</v>
      </c>
      <c r="D7" s="5" t="s">
        <v>23</v>
      </c>
      <c r="E7" s="7" t="n">
        <v>37348</v>
      </c>
      <c r="F7" s="5" t="n">
        <v>15</v>
      </c>
      <c r="G7" s="5" t="n">
        <f aca="false">ROUND((DATE(2026,10,31)-E7)/365.25,1)</f>
        <v>24.6</v>
      </c>
      <c r="H7" s="5" t="n">
        <f aca="false">F7-G7</f>
        <v>-9.6</v>
      </c>
      <c r="I7" s="7" t="n">
        <v>46289</v>
      </c>
      <c r="J7" s="5" t="s">
        <v>24</v>
      </c>
      <c r="K7" s="5" t="str">
        <f aca="false">IF(OR(H7&lt;=2,J7="Poor"),"YES","NO")</f>
        <v>YES</v>
      </c>
    </row>
    <row r="8" customFormat="false" ht="15" hidden="false" customHeight="false" outlineLevel="0" collapsed="false">
      <c r="A8" s="5" t="s">
        <v>25</v>
      </c>
      <c r="B8" s="5" t="s">
        <v>26</v>
      </c>
      <c r="C8" s="6" t="n">
        <v>4.49</v>
      </c>
      <c r="D8" s="5" t="s">
        <v>27</v>
      </c>
      <c r="E8" s="7" t="n">
        <v>36162</v>
      </c>
      <c r="F8" s="5" t="n">
        <v>15</v>
      </c>
      <c r="G8" s="5" t="n">
        <f aca="false">ROUND((DATE(2026,10,31)-E8)/365.25,1)</f>
        <v>27.8</v>
      </c>
      <c r="H8" s="5" t="n">
        <f aca="false">F8-G8</f>
        <v>-12.8</v>
      </c>
      <c r="I8" s="7" t="n">
        <v>46281</v>
      </c>
      <c r="J8" s="5" t="s">
        <v>24</v>
      </c>
      <c r="K8" s="5" t="str">
        <f aca="false">IF(OR(H8&lt;=2,J8="Poor"),"YES","NO")</f>
        <v>YES</v>
      </c>
    </row>
    <row r="9" customFormat="false" ht="15" hidden="false" customHeight="false" outlineLevel="0" collapsed="false">
      <c r="A9" s="5" t="s">
        <v>28</v>
      </c>
      <c r="B9" s="5" t="s">
        <v>29</v>
      </c>
      <c r="C9" s="6" t="n">
        <v>0.94</v>
      </c>
      <c r="D9" s="5" t="s">
        <v>30</v>
      </c>
      <c r="E9" s="7" t="n">
        <v>41885</v>
      </c>
      <c r="F9" s="5" t="n">
        <v>25</v>
      </c>
      <c r="G9" s="5" t="n">
        <f aca="false">ROUND((DATE(2026,10,31)-E9)/365.25,1)</f>
        <v>12.2</v>
      </c>
      <c r="H9" s="5" t="n">
        <f aca="false">F9-G9</f>
        <v>12.8</v>
      </c>
      <c r="I9" s="7" t="n">
        <v>46176</v>
      </c>
      <c r="J9" s="5" t="s">
        <v>24</v>
      </c>
      <c r="K9" s="5" t="str">
        <f aca="false">IF(OR(H9&lt;=2,J9="Poor"),"YES","NO")</f>
        <v>YES</v>
      </c>
    </row>
    <row r="10" customFormat="false" ht="15" hidden="false" customHeight="false" outlineLevel="0" collapsed="false">
      <c r="A10" s="5" t="s">
        <v>31</v>
      </c>
      <c r="B10" s="5" t="s">
        <v>32</v>
      </c>
      <c r="C10" s="6" t="n">
        <v>4.05</v>
      </c>
      <c r="D10" s="5" t="s">
        <v>33</v>
      </c>
      <c r="E10" s="7" t="n">
        <v>36629</v>
      </c>
      <c r="F10" s="5" t="n">
        <v>30</v>
      </c>
      <c r="G10" s="5" t="n">
        <f aca="false">ROUND((DATE(2026,10,31)-E10)/365.25,1)</f>
        <v>26.5</v>
      </c>
      <c r="H10" s="5" t="n">
        <f aca="false">F10-G10</f>
        <v>3.5</v>
      </c>
      <c r="I10" s="7" t="n">
        <v>46161</v>
      </c>
      <c r="J10" s="5" t="s">
        <v>34</v>
      </c>
      <c r="K10" s="5" t="str">
        <f aca="false">IF(OR(H10&lt;=2,J10="Poor"),"YES","NO")</f>
        <v>NO</v>
      </c>
    </row>
    <row r="11" customFormat="false" ht="15" hidden="false" customHeight="false" outlineLevel="0" collapsed="false">
      <c r="A11" s="5" t="s">
        <v>35</v>
      </c>
      <c r="B11" s="5" t="s">
        <v>15</v>
      </c>
      <c r="C11" s="6" t="n">
        <v>3.57</v>
      </c>
      <c r="D11" s="5" t="s">
        <v>16</v>
      </c>
      <c r="E11" s="7" t="n">
        <v>42646</v>
      </c>
      <c r="F11" s="5" t="n">
        <v>15</v>
      </c>
      <c r="G11" s="5" t="n">
        <f aca="false">ROUND((DATE(2026,10,31)-E11)/365.25,1)</f>
        <v>10.1</v>
      </c>
      <c r="H11" s="5" t="n">
        <f aca="false">F11-G11</f>
        <v>4.9</v>
      </c>
      <c r="I11" s="7" t="n">
        <v>46256</v>
      </c>
      <c r="J11" s="5" t="s">
        <v>24</v>
      </c>
      <c r="K11" s="5" t="str">
        <f aca="false">IF(OR(H11&lt;=2,J11="Poor"),"YES","NO")</f>
        <v>YES</v>
      </c>
    </row>
    <row r="12" customFormat="false" ht="15" hidden="false" customHeight="false" outlineLevel="0" collapsed="false">
      <c r="A12" s="5" t="s">
        <v>36</v>
      </c>
      <c r="B12" s="5" t="s">
        <v>19</v>
      </c>
      <c r="C12" s="6" t="n">
        <v>3.14</v>
      </c>
      <c r="D12" s="5" t="s">
        <v>20</v>
      </c>
      <c r="E12" s="7" t="n">
        <v>42497</v>
      </c>
      <c r="F12" s="5" t="n">
        <v>20</v>
      </c>
      <c r="G12" s="5" t="n">
        <f aca="false">ROUND((DATE(2026,10,31)-E12)/365.25,1)</f>
        <v>10.5</v>
      </c>
      <c r="H12" s="5" t="n">
        <f aca="false">F12-G12</f>
        <v>9.5</v>
      </c>
      <c r="I12" s="7" t="n">
        <v>46318</v>
      </c>
      <c r="J12" s="5" t="s">
        <v>34</v>
      </c>
      <c r="K12" s="5" t="str">
        <f aca="false">IF(OR(H12&lt;=2,J12="Poor"),"YES","NO")</f>
        <v>NO</v>
      </c>
    </row>
    <row r="13" customFormat="false" ht="15" hidden="false" customHeight="false" outlineLevel="0" collapsed="false">
      <c r="A13" s="5" t="s">
        <v>37</v>
      </c>
      <c r="B13" s="5" t="s">
        <v>22</v>
      </c>
      <c r="C13" s="6" t="n">
        <v>1.59</v>
      </c>
      <c r="D13" s="5" t="s">
        <v>23</v>
      </c>
      <c r="E13" s="7" t="n">
        <v>38433</v>
      </c>
      <c r="F13" s="5" t="n">
        <v>15</v>
      </c>
      <c r="G13" s="5" t="n">
        <f aca="false">ROUND((DATE(2026,10,31)-E13)/365.25,1)</f>
        <v>21.6</v>
      </c>
      <c r="H13" s="5" t="n">
        <f aca="false">F13-G13</f>
        <v>-6.6</v>
      </c>
      <c r="I13" s="7" t="n">
        <v>46305</v>
      </c>
      <c r="J13" s="5" t="s">
        <v>17</v>
      </c>
      <c r="K13" s="5" t="str">
        <f aca="false">IF(OR(H13&lt;=2,J13="Poor"),"YES","NO")</f>
        <v>YES</v>
      </c>
    </row>
    <row r="14" customFormat="false" ht="15" hidden="false" customHeight="false" outlineLevel="0" collapsed="false">
      <c r="A14" s="5" t="s">
        <v>38</v>
      </c>
      <c r="B14" s="5" t="s">
        <v>26</v>
      </c>
      <c r="C14" s="6" t="n">
        <v>5.57</v>
      </c>
      <c r="D14" s="5" t="s">
        <v>27</v>
      </c>
      <c r="E14" s="7" t="n">
        <v>39479</v>
      </c>
      <c r="F14" s="5" t="n">
        <v>15</v>
      </c>
      <c r="G14" s="5" t="n">
        <f aca="false">ROUND((DATE(2026,10,31)-E14)/365.25,1)</f>
        <v>18.7</v>
      </c>
      <c r="H14" s="5" t="n">
        <f aca="false">F14-G14</f>
        <v>-3.7</v>
      </c>
      <c r="I14" s="7" t="n">
        <v>46254</v>
      </c>
      <c r="J14" s="5" t="s">
        <v>24</v>
      </c>
      <c r="K14" s="5" t="str">
        <f aca="false">IF(OR(H14&lt;=2,J14="Poor"),"YES","NO")</f>
        <v>YES</v>
      </c>
    </row>
    <row r="15" customFormat="false" ht="15" hidden="false" customHeight="false" outlineLevel="0" collapsed="false">
      <c r="A15" s="5" t="s">
        <v>39</v>
      </c>
      <c r="B15" s="5" t="s">
        <v>29</v>
      </c>
      <c r="C15" s="6" t="n">
        <v>0.44</v>
      </c>
      <c r="D15" s="5" t="s">
        <v>30</v>
      </c>
      <c r="E15" s="7" t="n">
        <v>36998</v>
      </c>
      <c r="F15" s="5" t="n">
        <v>25</v>
      </c>
      <c r="G15" s="5" t="n">
        <f aca="false">ROUND((DATE(2026,10,31)-E15)/365.25,1)</f>
        <v>25.5</v>
      </c>
      <c r="H15" s="5" t="n">
        <f aca="false">F15-G15</f>
        <v>-0.5</v>
      </c>
      <c r="I15" s="7" t="n">
        <v>46208</v>
      </c>
      <c r="J15" s="5" t="s">
        <v>34</v>
      </c>
      <c r="K15" s="5" t="str">
        <f aca="false">IF(OR(H15&lt;=2,J15="Poor"),"YES","NO")</f>
        <v>YES</v>
      </c>
    </row>
    <row r="16" customFormat="false" ht="15" hidden="false" customHeight="false" outlineLevel="0" collapsed="false">
      <c r="A16" s="5" t="s">
        <v>40</v>
      </c>
      <c r="B16" s="5" t="s">
        <v>32</v>
      </c>
      <c r="C16" s="6" t="n">
        <v>5.28</v>
      </c>
      <c r="D16" s="5" t="s">
        <v>33</v>
      </c>
      <c r="E16" s="7" t="n">
        <v>36687</v>
      </c>
      <c r="F16" s="5" t="n">
        <v>30</v>
      </c>
      <c r="G16" s="5" t="n">
        <f aca="false">ROUND((DATE(2026,10,31)-E16)/365.25,1)</f>
        <v>26.4</v>
      </c>
      <c r="H16" s="5" t="n">
        <f aca="false">F16-G16</f>
        <v>3.6</v>
      </c>
      <c r="I16" s="7" t="n">
        <v>46188</v>
      </c>
      <c r="J16" s="5" t="s">
        <v>24</v>
      </c>
      <c r="K16" s="5" t="str">
        <f aca="false">IF(OR(H16&lt;=2,J16="Poor"),"YES","NO")</f>
        <v>YES</v>
      </c>
    </row>
    <row r="17" customFormat="false" ht="15" hidden="false" customHeight="false" outlineLevel="0" collapsed="false">
      <c r="A17" s="5" t="s">
        <v>41</v>
      </c>
      <c r="B17" s="5" t="s">
        <v>15</v>
      </c>
      <c r="C17" s="6" t="n">
        <v>1.82</v>
      </c>
      <c r="D17" s="5" t="s">
        <v>16</v>
      </c>
      <c r="E17" s="7" t="n">
        <v>44152</v>
      </c>
      <c r="F17" s="5" t="n">
        <v>15</v>
      </c>
      <c r="G17" s="5" t="n">
        <f aca="false">ROUND((DATE(2026,10,31)-E17)/365.25,1)</f>
        <v>6</v>
      </c>
      <c r="H17" s="5" t="n">
        <f aca="false">F17-G17</f>
        <v>9</v>
      </c>
      <c r="I17" s="7" t="n">
        <v>46164</v>
      </c>
      <c r="J17" s="5" t="s">
        <v>24</v>
      </c>
      <c r="K17" s="5" t="str">
        <f aca="false">IF(OR(H17&lt;=2,J17="Poor"),"YES","NO")</f>
        <v>YES</v>
      </c>
    </row>
    <row r="18" customFormat="false" ht="15" hidden="false" customHeight="false" outlineLevel="0" collapsed="false">
      <c r="A18" s="5" t="s">
        <v>42</v>
      </c>
      <c r="B18" s="5" t="s">
        <v>19</v>
      </c>
      <c r="C18" s="6" t="n">
        <v>5.59</v>
      </c>
      <c r="D18" s="5" t="s">
        <v>20</v>
      </c>
      <c r="E18" s="7" t="n">
        <v>39118</v>
      </c>
      <c r="F18" s="5" t="n">
        <v>20</v>
      </c>
      <c r="G18" s="5" t="n">
        <f aca="false">ROUND((DATE(2026,10,31)-E18)/365.25,1)</f>
        <v>19.7</v>
      </c>
      <c r="H18" s="5" t="n">
        <f aca="false">F18-G18</f>
        <v>0.300000000000001</v>
      </c>
      <c r="I18" s="7" t="n">
        <v>46207</v>
      </c>
      <c r="J18" s="5" t="s">
        <v>34</v>
      </c>
      <c r="K18" s="5" t="str">
        <f aca="false">IF(OR(H18&lt;=2,J18="Poor"),"YES","NO")</f>
        <v>YES</v>
      </c>
    </row>
    <row r="19" customFormat="false" ht="15" hidden="false" customHeight="false" outlineLevel="0" collapsed="false">
      <c r="A19" s="5" t="s">
        <v>43</v>
      </c>
      <c r="B19" s="5" t="s">
        <v>22</v>
      </c>
      <c r="C19" s="6" t="n">
        <v>3.32</v>
      </c>
      <c r="D19" s="5" t="s">
        <v>23</v>
      </c>
      <c r="E19" s="7" t="n">
        <v>44326</v>
      </c>
      <c r="F19" s="5" t="n">
        <v>15</v>
      </c>
      <c r="G19" s="5" t="n">
        <f aca="false">ROUND((DATE(2026,10,31)-E19)/365.25,1)</f>
        <v>5.5</v>
      </c>
      <c r="H19" s="5" t="n">
        <f aca="false">F19-G19</f>
        <v>9.5</v>
      </c>
      <c r="I19" s="7" t="n">
        <v>46272</v>
      </c>
      <c r="J19" s="5" t="s">
        <v>34</v>
      </c>
      <c r="K19" s="5" t="str">
        <f aca="false">IF(OR(H19&lt;=2,J19="Poor"),"YES","NO")</f>
        <v>NO</v>
      </c>
    </row>
    <row r="20" customFormat="false" ht="15" hidden="false" customHeight="false" outlineLevel="0" collapsed="false">
      <c r="A20" s="5" t="s">
        <v>44</v>
      </c>
      <c r="B20" s="5" t="s">
        <v>26</v>
      </c>
      <c r="C20" s="6" t="n">
        <v>4.12</v>
      </c>
      <c r="D20" s="5" t="s">
        <v>27</v>
      </c>
      <c r="E20" s="7" t="n">
        <v>38124</v>
      </c>
      <c r="F20" s="5" t="n">
        <v>15</v>
      </c>
      <c r="G20" s="5" t="n">
        <f aca="false">ROUND((DATE(2026,10,31)-E20)/365.25,1)</f>
        <v>22.5</v>
      </c>
      <c r="H20" s="5" t="n">
        <f aca="false">F20-G20</f>
        <v>-7.5</v>
      </c>
      <c r="I20" s="7" t="n">
        <v>46243</v>
      </c>
      <c r="J20" s="5" t="s">
        <v>34</v>
      </c>
      <c r="K20" s="5" t="str">
        <f aca="false">IF(OR(H20&lt;=2,J20="Poor"),"YES","NO")</f>
        <v>YES</v>
      </c>
    </row>
    <row r="21" customFormat="false" ht="15" hidden="false" customHeight="false" outlineLevel="0" collapsed="false">
      <c r="A21" s="5" t="s">
        <v>45</v>
      </c>
      <c r="B21" s="5" t="s">
        <v>29</v>
      </c>
      <c r="C21" s="6" t="n">
        <v>3.81</v>
      </c>
      <c r="D21" s="5" t="s">
        <v>30</v>
      </c>
      <c r="E21" s="7" t="n">
        <v>36648</v>
      </c>
      <c r="F21" s="5" t="n">
        <v>25</v>
      </c>
      <c r="G21" s="5" t="n">
        <f aca="false">ROUND((DATE(2026,10,31)-E21)/365.25,1)</f>
        <v>26.5</v>
      </c>
      <c r="H21" s="5" t="n">
        <f aca="false">F21-G21</f>
        <v>-1.5</v>
      </c>
      <c r="I21" s="7" t="n">
        <v>46153</v>
      </c>
      <c r="J21" s="5" t="s">
        <v>34</v>
      </c>
      <c r="K21" s="5" t="str">
        <f aca="false">IF(OR(H21&lt;=2,J21="Poor"),"YES","NO")</f>
        <v>YES</v>
      </c>
    </row>
    <row r="22" customFormat="false" ht="15" hidden="false" customHeight="false" outlineLevel="0" collapsed="false">
      <c r="A22" s="5" t="s">
        <v>46</v>
      </c>
      <c r="B22" s="5" t="s">
        <v>32</v>
      </c>
      <c r="C22" s="6" t="n">
        <v>5.88</v>
      </c>
      <c r="D22" s="5" t="s">
        <v>33</v>
      </c>
      <c r="E22" s="7" t="n">
        <v>43183</v>
      </c>
      <c r="F22" s="5" t="n">
        <v>30</v>
      </c>
      <c r="G22" s="5" t="n">
        <f aca="false">ROUND((DATE(2026,10,31)-E22)/365.25,1)</f>
        <v>8.6</v>
      </c>
      <c r="H22" s="5" t="n">
        <f aca="false">F22-G22</f>
        <v>21.4</v>
      </c>
      <c r="I22" s="7" t="n">
        <v>46252</v>
      </c>
      <c r="J22" s="5" t="s">
        <v>17</v>
      </c>
      <c r="K22" s="5" t="str">
        <f aca="false">IF(OR(H22&lt;=2,J22="Poor"),"YES","NO")</f>
        <v>NO</v>
      </c>
    </row>
    <row r="23" customFormat="false" ht="15" hidden="false" customHeight="false" outlineLevel="0" collapsed="false">
      <c r="A23" s="5" t="s">
        <v>47</v>
      </c>
      <c r="B23" s="5" t="s">
        <v>15</v>
      </c>
      <c r="C23" s="6" t="n">
        <v>0.06</v>
      </c>
      <c r="D23" s="5" t="s">
        <v>16</v>
      </c>
      <c r="E23" s="7" t="n">
        <v>42058</v>
      </c>
      <c r="F23" s="5" t="n">
        <v>15</v>
      </c>
      <c r="G23" s="5" t="n">
        <f aca="false">ROUND((DATE(2026,10,31)-E23)/365.25,1)</f>
        <v>11.7</v>
      </c>
      <c r="H23" s="5" t="n">
        <f aca="false">F23-G23</f>
        <v>3.3</v>
      </c>
      <c r="I23" s="7" t="n">
        <v>46191</v>
      </c>
      <c r="J23" s="5" t="s">
        <v>34</v>
      </c>
      <c r="K23" s="5" t="str">
        <f aca="false">IF(OR(H23&lt;=2,J23="Poor"),"YES","NO")</f>
        <v>NO</v>
      </c>
    </row>
    <row r="24" customFormat="false" ht="15" hidden="false" customHeight="false" outlineLevel="0" collapsed="false">
      <c r="A24" s="5" t="s">
        <v>48</v>
      </c>
      <c r="B24" s="5" t="s">
        <v>19</v>
      </c>
      <c r="C24" s="6" t="n">
        <v>2.22</v>
      </c>
      <c r="D24" s="5" t="s">
        <v>20</v>
      </c>
      <c r="E24" s="7" t="n">
        <v>45540</v>
      </c>
      <c r="F24" s="5" t="n">
        <v>20</v>
      </c>
      <c r="G24" s="5" t="n">
        <f aca="false">ROUND((DATE(2026,10,31)-E24)/365.25,1)</f>
        <v>2.2</v>
      </c>
      <c r="H24" s="5" t="n">
        <f aca="false">F24-G24</f>
        <v>17.8</v>
      </c>
      <c r="I24" s="7" t="n">
        <v>46239</v>
      </c>
      <c r="J24" s="5" t="s">
        <v>34</v>
      </c>
      <c r="K24" s="5" t="str">
        <f aca="false">IF(OR(H24&lt;=2,J24="Poor"),"YES","NO")</f>
        <v>NO</v>
      </c>
    </row>
    <row r="25" customFormat="false" ht="15" hidden="false" customHeight="false" outlineLevel="0" collapsed="false">
      <c r="A25" s="5" t="s">
        <v>49</v>
      </c>
      <c r="B25" s="5" t="s">
        <v>22</v>
      </c>
      <c r="C25" s="6" t="n">
        <v>2.19</v>
      </c>
      <c r="D25" s="5" t="s">
        <v>23</v>
      </c>
      <c r="E25" s="7" t="n">
        <v>39094</v>
      </c>
      <c r="F25" s="5" t="n">
        <v>15</v>
      </c>
      <c r="G25" s="5" t="n">
        <f aca="false">ROUND((DATE(2026,10,31)-E25)/365.25,1)</f>
        <v>19.8</v>
      </c>
      <c r="H25" s="5" t="n">
        <f aca="false">F25-G25</f>
        <v>-4.8</v>
      </c>
      <c r="I25" s="7" t="n">
        <v>46195</v>
      </c>
      <c r="J25" s="5" t="s">
        <v>34</v>
      </c>
      <c r="K25" s="5" t="str">
        <f aca="false">IF(OR(H25&lt;=2,J25="Poor"),"YES","NO")</f>
        <v>YES</v>
      </c>
    </row>
    <row r="26" customFormat="false" ht="15" hidden="false" customHeight="false" outlineLevel="0" collapsed="false">
      <c r="A26" s="5" t="s">
        <v>50</v>
      </c>
      <c r="B26" s="5" t="s">
        <v>26</v>
      </c>
      <c r="C26" s="6" t="n">
        <v>0.62</v>
      </c>
      <c r="D26" s="5" t="s">
        <v>27</v>
      </c>
      <c r="E26" s="7" t="n">
        <v>43736</v>
      </c>
      <c r="F26" s="5" t="n">
        <v>15</v>
      </c>
      <c r="G26" s="5" t="n">
        <f aca="false">ROUND((DATE(2026,10,31)-E26)/365.25,1)</f>
        <v>7.1</v>
      </c>
      <c r="H26" s="5" t="n">
        <f aca="false">F26-G26</f>
        <v>7.9</v>
      </c>
      <c r="I26" s="7" t="n">
        <v>46254</v>
      </c>
      <c r="J26" s="5" t="s">
        <v>34</v>
      </c>
      <c r="K26" s="5" t="str">
        <f aca="false">IF(OR(H26&lt;=2,J26="Poor"),"YES","NO")</f>
        <v>NO</v>
      </c>
    </row>
    <row r="27" customFormat="false" ht="15" hidden="false" customHeight="false" outlineLevel="0" collapsed="false">
      <c r="A27" s="5" t="s">
        <v>51</v>
      </c>
      <c r="B27" s="5" t="s">
        <v>29</v>
      </c>
      <c r="C27" s="6" t="n">
        <v>5.19</v>
      </c>
      <c r="D27" s="5" t="s">
        <v>30</v>
      </c>
      <c r="E27" s="7" t="n">
        <v>38425</v>
      </c>
      <c r="F27" s="5" t="n">
        <v>25</v>
      </c>
      <c r="G27" s="5" t="n">
        <f aca="false">ROUND((DATE(2026,10,31)-E27)/365.25,1)</f>
        <v>21.6</v>
      </c>
      <c r="H27" s="5" t="n">
        <f aca="false">F27-G27</f>
        <v>3.4</v>
      </c>
      <c r="I27" s="7" t="n">
        <v>46148</v>
      </c>
      <c r="J27" s="5" t="s">
        <v>34</v>
      </c>
      <c r="K27" s="5" t="str">
        <f aca="false">IF(OR(H27&lt;=2,J27="Poor"),"YES","NO")</f>
        <v>NO</v>
      </c>
    </row>
    <row r="28" customFormat="false" ht="15" hidden="false" customHeight="false" outlineLevel="0" collapsed="false">
      <c r="A28" s="5" t="s">
        <v>52</v>
      </c>
      <c r="B28" s="5" t="s">
        <v>32</v>
      </c>
      <c r="C28" s="6" t="n">
        <v>5.58</v>
      </c>
      <c r="D28" s="5" t="s">
        <v>33</v>
      </c>
      <c r="E28" s="7" t="n">
        <v>45258</v>
      </c>
      <c r="F28" s="5" t="n">
        <v>30</v>
      </c>
      <c r="G28" s="5" t="n">
        <f aca="false">ROUND((DATE(2026,10,31)-E28)/365.25,1)</f>
        <v>2.9</v>
      </c>
      <c r="H28" s="5" t="n">
        <f aca="false">F28-G28</f>
        <v>27.1</v>
      </c>
      <c r="I28" s="7" t="n">
        <v>46321</v>
      </c>
      <c r="J28" s="5" t="s">
        <v>34</v>
      </c>
      <c r="K28" s="5" t="str">
        <f aca="false">IF(OR(H28&lt;=2,J28="Poor"),"YES","NO")</f>
        <v>NO</v>
      </c>
    </row>
    <row r="29" customFormat="false" ht="15" hidden="false" customHeight="false" outlineLevel="0" collapsed="false">
      <c r="A29" s="5" t="s">
        <v>53</v>
      </c>
      <c r="B29" s="5" t="s">
        <v>15</v>
      </c>
      <c r="C29" s="6" t="n">
        <v>0.96</v>
      </c>
      <c r="D29" s="5" t="s">
        <v>16</v>
      </c>
      <c r="E29" s="7" t="n">
        <v>39055</v>
      </c>
      <c r="F29" s="5" t="n">
        <v>15</v>
      </c>
      <c r="G29" s="5" t="n">
        <f aca="false">ROUND((DATE(2026,10,31)-E29)/365.25,1)</f>
        <v>19.9</v>
      </c>
      <c r="H29" s="5" t="n">
        <f aca="false">F29-G29</f>
        <v>-4.9</v>
      </c>
      <c r="I29" s="7" t="n">
        <v>46262</v>
      </c>
      <c r="J29" s="5" t="s">
        <v>34</v>
      </c>
      <c r="K29" s="5" t="str">
        <f aca="false">IF(OR(H29&lt;=2,J29="Poor"),"YES","NO")</f>
        <v>YES</v>
      </c>
    </row>
    <row r="30" customFormat="false" ht="15" hidden="false" customHeight="false" outlineLevel="0" collapsed="false">
      <c r="A30" s="5" t="s">
        <v>54</v>
      </c>
      <c r="B30" s="5" t="s">
        <v>19</v>
      </c>
      <c r="C30" s="6" t="n">
        <v>1.33</v>
      </c>
      <c r="D30" s="5" t="s">
        <v>20</v>
      </c>
      <c r="E30" s="7" t="n">
        <v>41498</v>
      </c>
      <c r="F30" s="5" t="n">
        <v>20</v>
      </c>
      <c r="G30" s="5" t="n">
        <f aca="false">ROUND((DATE(2026,10,31)-E30)/365.25,1)</f>
        <v>13.2</v>
      </c>
      <c r="H30" s="5" t="n">
        <f aca="false">F30-G30</f>
        <v>6.8</v>
      </c>
      <c r="I30" s="7" t="n">
        <v>46230</v>
      </c>
      <c r="J30" s="5" t="s">
        <v>34</v>
      </c>
      <c r="K30" s="5" t="str">
        <f aca="false">IF(OR(H30&lt;=2,J30="Poor"),"YES","NO")</f>
        <v>NO</v>
      </c>
    </row>
    <row r="31" customFormat="false" ht="15" hidden="false" customHeight="false" outlineLevel="0" collapsed="false">
      <c r="A31" s="5" t="s">
        <v>55</v>
      </c>
      <c r="B31" s="5" t="s">
        <v>22</v>
      </c>
      <c r="C31" s="6" t="n">
        <v>0.14</v>
      </c>
      <c r="D31" s="5" t="s">
        <v>23</v>
      </c>
      <c r="E31" s="7" t="n">
        <v>38455</v>
      </c>
      <c r="F31" s="5" t="n">
        <v>15</v>
      </c>
      <c r="G31" s="5" t="n">
        <f aca="false">ROUND((DATE(2026,10,31)-E31)/365.25,1)</f>
        <v>21.5</v>
      </c>
      <c r="H31" s="5" t="n">
        <f aca="false">F31-G31</f>
        <v>-6.5</v>
      </c>
      <c r="I31" s="7" t="n">
        <v>46212</v>
      </c>
      <c r="J31" s="5" t="s">
        <v>34</v>
      </c>
      <c r="K31" s="5" t="str">
        <f aca="false">IF(OR(H31&lt;=2,J31="Poor"),"YES","NO")</f>
        <v>YES</v>
      </c>
    </row>
    <row r="32" customFormat="false" ht="15" hidden="false" customHeight="false" outlineLevel="0" collapsed="false">
      <c r="A32" s="5" t="s">
        <v>56</v>
      </c>
      <c r="B32" s="5" t="s">
        <v>26</v>
      </c>
      <c r="C32" s="6" t="n">
        <v>1.67</v>
      </c>
      <c r="D32" s="5" t="s">
        <v>27</v>
      </c>
      <c r="E32" s="7" t="n">
        <v>44882</v>
      </c>
      <c r="F32" s="5" t="n">
        <v>15</v>
      </c>
      <c r="G32" s="5" t="n">
        <f aca="false">ROUND((DATE(2026,10,31)-E32)/365.25,1)</f>
        <v>4</v>
      </c>
      <c r="H32" s="5" t="n">
        <f aca="false">F32-G32</f>
        <v>11</v>
      </c>
      <c r="I32" s="7" t="n">
        <v>46256</v>
      </c>
      <c r="J32" s="5" t="s">
        <v>24</v>
      </c>
      <c r="K32" s="5" t="str">
        <f aca="false">IF(OR(H32&lt;=2,J32="Poor"),"YES","NO")</f>
        <v>YES</v>
      </c>
    </row>
    <row r="33" customFormat="false" ht="15" hidden="false" customHeight="false" outlineLevel="0" collapsed="false">
      <c r="A33" s="5" t="s">
        <v>57</v>
      </c>
      <c r="B33" s="5" t="s">
        <v>29</v>
      </c>
      <c r="C33" s="6" t="n">
        <v>5.64</v>
      </c>
      <c r="D33" s="5" t="s">
        <v>30</v>
      </c>
      <c r="E33" s="7" t="n">
        <v>39487</v>
      </c>
      <c r="F33" s="5" t="n">
        <v>25</v>
      </c>
      <c r="G33" s="5" t="n">
        <f aca="false">ROUND((DATE(2026,10,31)-E33)/365.25,1)</f>
        <v>18.7</v>
      </c>
      <c r="H33" s="5" t="n">
        <f aca="false">F33-G33</f>
        <v>6.3</v>
      </c>
      <c r="I33" s="7" t="n">
        <v>46192</v>
      </c>
      <c r="J33" s="5" t="s">
        <v>34</v>
      </c>
      <c r="K33" s="5" t="str">
        <f aca="false">IF(OR(H33&lt;=2,J33="Poor"),"YES","NO")</f>
        <v>NO</v>
      </c>
    </row>
    <row r="34" customFormat="false" ht="15" hidden="false" customHeight="false" outlineLevel="0" collapsed="false">
      <c r="A34" s="5" t="s">
        <v>58</v>
      </c>
      <c r="B34" s="5" t="s">
        <v>32</v>
      </c>
      <c r="C34" s="6" t="n">
        <v>0.65</v>
      </c>
      <c r="D34" s="5" t="s">
        <v>33</v>
      </c>
      <c r="E34" s="7" t="n">
        <v>36353</v>
      </c>
      <c r="F34" s="5" t="n">
        <v>30</v>
      </c>
      <c r="G34" s="5" t="n">
        <f aca="false">ROUND((DATE(2026,10,31)-E34)/365.25,1)</f>
        <v>27.3</v>
      </c>
      <c r="H34" s="5" t="n">
        <f aca="false">F34-G34</f>
        <v>2.7</v>
      </c>
      <c r="I34" s="7" t="n">
        <v>46321</v>
      </c>
      <c r="J34" s="5" t="s">
        <v>34</v>
      </c>
      <c r="K34" s="5" t="str">
        <f aca="false">IF(OR(H34&lt;=2,J34="Poor"),"YES","NO")</f>
        <v>NO</v>
      </c>
    </row>
    <row r="35" customFormat="false" ht="15" hidden="false" customHeight="false" outlineLevel="0" collapsed="false">
      <c r="A35" s="5" t="s">
        <v>59</v>
      </c>
      <c r="B35" s="5" t="s">
        <v>15</v>
      </c>
      <c r="C35" s="6" t="n">
        <v>3.64</v>
      </c>
      <c r="D35" s="5" t="s">
        <v>16</v>
      </c>
      <c r="E35" s="7" t="n">
        <v>40790</v>
      </c>
      <c r="F35" s="5" t="n">
        <v>15</v>
      </c>
      <c r="G35" s="5" t="n">
        <f aca="false">ROUND((DATE(2026,10,31)-E35)/365.25,1)</f>
        <v>15.2</v>
      </c>
      <c r="H35" s="5" t="n">
        <f aca="false">F35-G35</f>
        <v>-0.199999999999999</v>
      </c>
      <c r="I35" s="7" t="n">
        <v>46253</v>
      </c>
      <c r="J35" s="5" t="s">
        <v>34</v>
      </c>
      <c r="K35" s="5" t="str">
        <f aca="false">IF(OR(H35&lt;=2,J35="Poor"),"YES","NO")</f>
        <v>YES</v>
      </c>
    </row>
    <row r="36" customFormat="false" ht="15" hidden="false" customHeight="false" outlineLevel="0" collapsed="false">
      <c r="A36" s="5" t="s">
        <v>60</v>
      </c>
      <c r="B36" s="5" t="s">
        <v>19</v>
      </c>
      <c r="C36" s="6" t="n">
        <v>0.27</v>
      </c>
      <c r="D36" s="5" t="s">
        <v>20</v>
      </c>
      <c r="E36" s="7" t="n">
        <v>38899</v>
      </c>
      <c r="F36" s="5" t="n">
        <v>20</v>
      </c>
      <c r="G36" s="5" t="n">
        <f aca="false">ROUND((DATE(2026,10,31)-E36)/365.25,1)</f>
        <v>20.3</v>
      </c>
      <c r="H36" s="5" t="n">
        <f aca="false">F36-G36</f>
        <v>-0.300000000000001</v>
      </c>
      <c r="I36" s="7" t="n">
        <v>46291</v>
      </c>
      <c r="J36" s="5" t="s">
        <v>24</v>
      </c>
      <c r="K36" s="5" t="str">
        <f aca="false">IF(OR(H36&lt;=2,J36="Poor"),"YES","NO")</f>
        <v>YES</v>
      </c>
    </row>
    <row r="37" customFormat="false" ht="15" hidden="false" customHeight="false" outlineLevel="0" collapsed="false">
      <c r="A37" s="5" t="s">
        <v>61</v>
      </c>
      <c r="B37" s="5" t="s">
        <v>22</v>
      </c>
      <c r="C37" s="6" t="n">
        <v>4.32</v>
      </c>
      <c r="D37" s="5" t="s">
        <v>23</v>
      </c>
      <c r="E37" s="7" t="n">
        <v>43823</v>
      </c>
      <c r="F37" s="5" t="n">
        <v>15</v>
      </c>
      <c r="G37" s="5" t="n">
        <f aca="false">ROUND((DATE(2026,10,31)-E37)/365.25,1)</f>
        <v>6.9</v>
      </c>
      <c r="H37" s="5" t="n">
        <f aca="false">F37-G37</f>
        <v>8.1</v>
      </c>
      <c r="I37" s="7" t="n">
        <v>46302</v>
      </c>
      <c r="J37" s="5" t="s">
        <v>34</v>
      </c>
      <c r="K37" s="5" t="str">
        <f aca="false">IF(OR(H37&lt;=2,J37="Poor"),"YES","NO")</f>
        <v>NO</v>
      </c>
    </row>
    <row r="38" customFormat="false" ht="15" hidden="false" customHeight="false" outlineLevel="0" collapsed="false">
      <c r="A38" s="5" t="s">
        <v>62</v>
      </c>
      <c r="B38" s="5" t="s">
        <v>26</v>
      </c>
      <c r="C38" s="6" t="n">
        <v>0.42</v>
      </c>
      <c r="D38" s="5" t="s">
        <v>27</v>
      </c>
      <c r="E38" s="7" t="n">
        <v>40858</v>
      </c>
      <c r="F38" s="5" t="n">
        <v>15</v>
      </c>
      <c r="G38" s="5" t="n">
        <f aca="false">ROUND((DATE(2026,10,31)-E38)/365.25,1)</f>
        <v>15</v>
      </c>
      <c r="H38" s="5" t="n">
        <f aca="false">F38-G38</f>
        <v>0</v>
      </c>
      <c r="I38" s="7" t="n">
        <v>46276</v>
      </c>
      <c r="J38" s="5" t="s">
        <v>34</v>
      </c>
      <c r="K38" s="5" t="str">
        <f aca="false">IF(OR(H38&lt;=2,J38="Poor"),"YES","NO")</f>
        <v>YES</v>
      </c>
    </row>
    <row r="39" customFormat="false" ht="15" hidden="false" customHeight="false" outlineLevel="0" collapsed="false">
      <c r="A39" s="5" t="s">
        <v>63</v>
      </c>
      <c r="B39" s="5" t="s">
        <v>29</v>
      </c>
      <c r="C39" s="6" t="n">
        <v>5.4</v>
      </c>
      <c r="D39" s="5" t="s">
        <v>30</v>
      </c>
      <c r="E39" s="7" t="n">
        <v>44449</v>
      </c>
      <c r="F39" s="5" t="n">
        <v>25</v>
      </c>
      <c r="G39" s="5" t="n">
        <f aca="false">ROUND((DATE(2026,10,31)-E39)/365.25,1)</f>
        <v>5.1</v>
      </c>
      <c r="H39" s="5" t="n">
        <f aca="false">F39-G39</f>
        <v>19.9</v>
      </c>
      <c r="I39" s="7" t="n">
        <v>46309</v>
      </c>
      <c r="J39" s="5" t="s">
        <v>34</v>
      </c>
      <c r="K39" s="5" t="str">
        <f aca="false">IF(OR(H39&lt;=2,J39="Poor"),"YES","NO")</f>
        <v>NO</v>
      </c>
    </row>
    <row r="40" customFormat="false" ht="15" hidden="false" customHeight="false" outlineLevel="0" collapsed="false">
      <c r="A40" s="5" t="s">
        <v>64</v>
      </c>
      <c r="B40" s="5" t="s">
        <v>32</v>
      </c>
      <c r="C40" s="6" t="n">
        <v>4.18</v>
      </c>
      <c r="D40" s="5" t="s">
        <v>33</v>
      </c>
      <c r="E40" s="7" t="n">
        <v>40426</v>
      </c>
      <c r="F40" s="5" t="n">
        <v>30</v>
      </c>
      <c r="G40" s="5" t="n">
        <f aca="false">ROUND((DATE(2026,10,31)-E40)/365.25,1)</f>
        <v>16.2</v>
      </c>
      <c r="H40" s="5" t="n">
        <f aca="false">F40-G40</f>
        <v>13.8</v>
      </c>
      <c r="I40" s="7" t="n">
        <v>46187</v>
      </c>
      <c r="J40" s="5" t="s">
        <v>17</v>
      </c>
      <c r="K40" s="5" t="str">
        <f aca="false">IF(OR(H40&lt;=2,J40="Poor"),"YES","NO")</f>
        <v>NO</v>
      </c>
    </row>
  </sheetData>
  <conditionalFormatting sqref="K5:K40">
    <cfRule type="cellIs" priority="2" operator="equal" aboveAverage="0" equalAverage="0" bottom="0" percent="0" rank="0" text="" dxfId="0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4" customFormat="false" ht="15" hidden="false" customHeight="false" outlineLevel="0" collapsed="false">
      <c r="A4" s="4" t="s">
        <v>67</v>
      </c>
      <c r="B4" s="4" t="s">
        <v>68</v>
      </c>
      <c r="C4" s="4" t="s">
        <v>69</v>
      </c>
      <c r="D4" s="4" t="s">
        <v>70</v>
      </c>
      <c r="E4" s="4" t="s">
        <v>71</v>
      </c>
      <c r="F4" s="4" t="s">
        <v>72</v>
      </c>
      <c r="G4" s="4" t="s">
        <v>73</v>
      </c>
      <c r="H4" s="4" t="s">
        <v>74</v>
      </c>
      <c r="I4" s="4" t="s">
        <v>75</v>
      </c>
      <c r="J4" s="4" t="s">
        <v>76</v>
      </c>
    </row>
    <row r="5" customFormat="false" ht="15" hidden="false" customHeight="false" outlineLevel="0" collapsed="false">
      <c r="A5" s="5" t="s">
        <v>77</v>
      </c>
      <c r="B5" s="5" t="s">
        <v>78</v>
      </c>
      <c r="C5" s="5" t="s">
        <v>79</v>
      </c>
      <c r="D5" s="5" t="s">
        <v>80</v>
      </c>
      <c r="E5" s="5" t="n">
        <v>4</v>
      </c>
      <c r="F5" s="8" t="n">
        <v>0.215277777777778</v>
      </c>
      <c r="G5" s="8" t="n">
        <v>0.222222222222222</v>
      </c>
      <c r="H5" s="5" t="n">
        <f aca="false">ROUND((G5-F5)*1440,0)</f>
        <v>10</v>
      </c>
      <c r="I5" s="5" t="n">
        <v>25</v>
      </c>
      <c r="J5" s="5" t="str">
        <f aca="false">IF(I5&gt;15,"Late",IF(I5&gt;0,"Minor delay","On time"))</f>
        <v>Late</v>
      </c>
    </row>
    <row r="6" customFormat="false" ht="15" hidden="false" customHeight="false" outlineLevel="0" collapsed="false">
      <c r="A6" s="5" t="s">
        <v>81</v>
      </c>
      <c r="B6" s="5" t="s">
        <v>82</v>
      </c>
      <c r="C6" s="5" t="s">
        <v>79</v>
      </c>
      <c r="D6" s="5" t="s">
        <v>83</v>
      </c>
      <c r="E6" s="5" t="n">
        <v>3</v>
      </c>
      <c r="F6" s="8" t="n">
        <v>0.291666666666667</v>
      </c>
      <c r="G6" s="8" t="n">
        <v>0.298611111111111</v>
      </c>
      <c r="H6" s="5" t="n">
        <f aca="false">ROUND((G6-F6)*1440,0)</f>
        <v>10</v>
      </c>
      <c r="I6" s="5" t="n">
        <v>0</v>
      </c>
      <c r="J6" s="5" t="str">
        <f aca="false">IF(I6&gt;15,"Late",IF(I6&gt;0,"Minor delay","On time"))</f>
        <v>On time</v>
      </c>
    </row>
    <row r="7" customFormat="false" ht="15" hidden="false" customHeight="false" outlineLevel="0" collapsed="false">
      <c r="A7" s="5" t="s">
        <v>84</v>
      </c>
      <c r="B7" s="5" t="s">
        <v>78</v>
      </c>
      <c r="C7" s="5" t="s">
        <v>79</v>
      </c>
      <c r="D7" s="5" t="s">
        <v>85</v>
      </c>
      <c r="E7" s="5" t="n">
        <v>4</v>
      </c>
      <c r="F7" s="8" t="n">
        <v>0.399305555555556</v>
      </c>
      <c r="G7" s="8" t="n">
        <v>0.40625</v>
      </c>
      <c r="H7" s="5" t="n">
        <f aca="false">ROUND((G7-F7)*1440,0)</f>
        <v>10</v>
      </c>
      <c r="I7" s="5" t="n">
        <v>12</v>
      </c>
      <c r="J7" s="5" t="str">
        <f aca="false">IF(I7&gt;15,"Late",IF(I7&gt;0,"Minor delay","On time"))</f>
        <v>Minor delay</v>
      </c>
    </row>
    <row r="8" customFormat="false" ht="15" hidden="false" customHeight="false" outlineLevel="0" collapsed="false">
      <c r="A8" s="5" t="s">
        <v>86</v>
      </c>
      <c r="B8" s="5" t="s">
        <v>87</v>
      </c>
      <c r="C8" s="5" t="s">
        <v>79</v>
      </c>
      <c r="D8" s="5" t="s">
        <v>88</v>
      </c>
      <c r="E8" s="5" t="n">
        <v>5</v>
      </c>
      <c r="F8" s="8" t="n">
        <v>0.482638888888889</v>
      </c>
      <c r="G8" s="8" t="n">
        <v>0.486111111111111</v>
      </c>
      <c r="H8" s="5" t="n">
        <f aca="false">ROUND((G8-F8)*1440,0)</f>
        <v>5</v>
      </c>
      <c r="I8" s="5" t="n">
        <v>12</v>
      </c>
      <c r="J8" s="5" t="str">
        <f aca="false">IF(I8&gt;15,"Late",IF(I8&gt;0,"Minor delay","On time"))</f>
        <v>Minor delay</v>
      </c>
    </row>
    <row r="9" customFormat="false" ht="15" hidden="false" customHeight="false" outlineLevel="0" collapsed="false">
      <c r="A9" s="5" t="s">
        <v>89</v>
      </c>
      <c r="B9" s="5" t="s">
        <v>90</v>
      </c>
      <c r="C9" s="5" t="s">
        <v>79</v>
      </c>
      <c r="D9" s="5" t="s">
        <v>91</v>
      </c>
      <c r="E9" s="5" t="n">
        <v>3</v>
      </c>
      <c r="F9" s="8" t="n">
        <v>0.548611111111111</v>
      </c>
      <c r="G9" s="8" t="n">
        <v>0.55</v>
      </c>
      <c r="H9" s="5" t="n">
        <f aca="false">ROUND((G9-F9)*1440,0)</f>
        <v>2</v>
      </c>
      <c r="I9" s="5" t="n">
        <v>25</v>
      </c>
      <c r="J9" s="5" t="str">
        <f aca="false">IF(I9&gt;15,"Late",IF(I9&gt;0,"Minor delay","On time"))</f>
        <v>Late</v>
      </c>
    </row>
    <row r="10" customFormat="false" ht="15" hidden="false" customHeight="false" outlineLevel="0" collapsed="false">
      <c r="A10" s="5" t="s">
        <v>92</v>
      </c>
      <c r="B10" s="5" t="s">
        <v>78</v>
      </c>
      <c r="C10" s="5" t="s">
        <v>79</v>
      </c>
      <c r="D10" s="5" t="s">
        <v>93</v>
      </c>
      <c r="E10" s="5" t="n">
        <v>1</v>
      </c>
      <c r="F10" s="8" t="n">
        <v>0.659722222222222</v>
      </c>
      <c r="G10" s="8" t="n">
        <v>0.666666666666667</v>
      </c>
      <c r="H10" s="5" t="n">
        <f aca="false">ROUND((G10-F10)*1440,0)</f>
        <v>10</v>
      </c>
      <c r="I10" s="5" t="n">
        <v>0</v>
      </c>
      <c r="J10" s="5" t="str">
        <f aca="false">IF(I10&gt;15,"Late",IF(I10&gt;0,"Minor delay","On time"))</f>
        <v>On time</v>
      </c>
    </row>
    <row r="11" customFormat="false" ht="15" hidden="false" customHeight="false" outlineLevel="0" collapsed="false">
      <c r="A11" s="5" t="s">
        <v>94</v>
      </c>
      <c r="B11" s="5" t="s">
        <v>95</v>
      </c>
      <c r="C11" s="5" t="s">
        <v>80</v>
      </c>
      <c r="D11" s="5" t="s">
        <v>79</v>
      </c>
      <c r="E11" s="5" t="n">
        <v>2</v>
      </c>
      <c r="F11" s="8" t="n">
        <v>0.722222222222222</v>
      </c>
      <c r="G11" s="8" t="n">
        <v>0.725694444444444</v>
      </c>
      <c r="H11" s="5" t="n">
        <f aca="false">ROUND((G11-F11)*1440,0)</f>
        <v>5</v>
      </c>
      <c r="I11" s="5" t="n">
        <v>0</v>
      </c>
      <c r="J11" s="5" t="str">
        <f aca="false">IF(I11&gt;15,"Late",IF(I11&gt;0,"Minor delay","On time"))</f>
        <v>On time</v>
      </c>
    </row>
    <row r="12" customFormat="false" ht="15" hidden="false" customHeight="false" outlineLevel="0" collapsed="false">
      <c r="A12" s="5" t="s">
        <v>96</v>
      </c>
      <c r="B12" s="5" t="s">
        <v>97</v>
      </c>
      <c r="C12" s="5" t="s">
        <v>79</v>
      </c>
      <c r="D12" s="5" t="s">
        <v>98</v>
      </c>
      <c r="E12" s="5" t="n">
        <v>2</v>
      </c>
      <c r="F12" s="8" t="n">
        <v>0.791666666666667</v>
      </c>
      <c r="G12" s="8" t="n">
        <v>0.793055555555556</v>
      </c>
      <c r="H12" s="5" t="n">
        <f aca="false">ROUND((G12-F12)*1440,0)</f>
        <v>2</v>
      </c>
      <c r="I12" s="5" t="n">
        <v>12</v>
      </c>
      <c r="J12" s="5" t="str">
        <f aca="false">IF(I12&gt;15,"Late",IF(I12&gt;0,"Minor delay","On time"))</f>
        <v>Minor delay</v>
      </c>
    </row>
    <row r="14" customFormat="false" ht="15" hidden="false" customHeight="false" outlineLevel="0" collapsed="false">
      <c r="A14" s="9" t="s">
        <v>99</v>
      </c>
      <c r="D14" s="10" t="n">
        <f aca="false">AVERAGE(I5:I12)</f>
        <v>10.75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2026-10-31T02:46:29Z</dcterms:created>
  <dc:creator>openpyxl</dc:creator>
  <dc:description/>
  <dc:language>en-US</dc:language>
  <cp:lastModifiedBy/>
  <dcterms:modified xsi:type="dcterms:W3CDTF">2026-10-31T02:46:29Z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